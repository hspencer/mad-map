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Lectura" sheetId="1" state="visible" r:id="rId1"/>
    <sheet xmlns:r="http://schemas.openxmlformats.org/officeDocument/2006/relationships" name="01_Lineas" sheetId="2" state="visible" r:id="rId2"/>
    <sheet xmlns:r="http://schemas.openxmlformats.org/officeDocument/2006/relationships" name="02_Sublineas" sheetId="3" state="visible" r:id="rId3"/>
    <sheet xmlns:r="http://schemas.openxmlformats.org/officeDocument/2006/relationships" name="03_Areas" sheetId="4" state="visible" r:id="rId4"/>
    <sheet xmlns:r="http://schemas.openxmlformats.org/officeDocument/2006/relationships" name="04_Modos" sheetId="5" state="visible" r:id="rId5"/>
    <sheet xmlns:r="http://schemas.openxmlformats.org/officeDocument/2006/relationships" name="05_Salidas" sheetId="6" state="visible" r:id="rId6"/>
    <sheet xmlns:r="http://schemas.openxmlformats.org/officeDocument/2006/relationships" name="06_Laboratorios" sheetId="7" state="visible" r:id="rId7"/>
    <sheet xmlns:r="http://schemas.openxmlformats.org/officeDocument/2006/relationships" name="07_Investigadores" sheetId="8" state="visible" r:id="rId8"/>
    <sheet xmlns:r="http://schemas.openxmlformats.org/officeDocument/2006/relationships" name="08_Temas" sheetId="9" state="visible" r:id="rId9"/>
    <sheet xmlns:r="http://schemas.openxmlformats.org/officeDocument/2006/relationships" name="09_Sublinea_Tema" sheetId="10" state="visible" r:id="rId10"/>
    <sheet xmlns:r="http://schemas.openxmlformats.org/officeDocument/2006/relationships" name="10_Lab_Linea" sheetId="11" state="visible" r:id="rId11"/>
    <sheet xmlns:r="http://schemas.openxmlformats.org/officeDocument/2006/relationships" name="11_Lab_Salida" sheetId="12" state="visible" r:id="rId12"/>
    <sheet xmlns:r="http://schemas.openxmlformats.org/officeDocument/2006/relationships" name="12_Investigador_Lab" sheetId="13" state="visible" r:id="rId13"/>
    <sheet xmlns:r="http://schemas.openxmlformats.org/officeDocument/2006/relationships" name="13_Investigador_Modo" sheetId="14" state="visible" r:id="rId14"/>
    <sheet xmlns:r="http://schemas.openxmlformats.org/officeDocument/2006/relationships" name="14_Linea_Modo" sheetId="15" state="visible" r:id="rId15"/>
    <sheet xmlns:r="http://schemas.openxmlformats.org/officeDocument/2006/relationships" name="15_Decisiones" sheetId="16" state="visible" r:id="rId16"/>
    <sheet xmlns:r="http://schemas.openxmlformats.org/officeDocument/2006/relationships" name="16_Resumen" sheetId="17" state="visible" r:id="rId17"/>
    <sheet xmlns:r="http://schemas.openxmlformats.org/officeDocument/2006/relationships" name="17_Sello" sheetId="18" state="visible" r:id="rId18"/>
    <sheet xmlns:r="http://schemas.openxmlformats.org/officeDocument/2006/relationships" name="18_Proximidad_Tematica" sheetId="19" state="visible" r:id="rId19"/>
  </sheets>
  <definedNames>
    <definedName name="_xlnm._FilterDatabase" localSheetId="18" hidden="1">'18_Proximidad_Tematica'!$A$4:$G$90</definedName>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color rgb="00111827"/>
      <sz val="18"/>
    </font>
    <font>
      <name val="Arial"/>
      <i val="1"/>
      <color rgb="006B7280"/>
      <sz val="10"/>
    </font>
    <font>
      <name val="Arial"/>
      <b val="1"/>
      <sz val="12"/>
    </font>
    <font>
      <name val="Arial"/>
      <b val="1"/>
      <sz val="11"/>
    </font>
    <font>
      <name val="Arial"/>
      <sz val="11"/>
    </font>
    <font>
      <name val="Arial"/>
      <b val="1"/>
      <color rgb="00111827"/>
      <sz val="14"/>
    </font>
    <font>
      <name val="Arial"/>
      <b val="1"/>
      <color rgb="00FFFFFF"/>
      <sz val="11"/>
    </font>
    <font>
      <name val="Arial"/>
      <sz val="10"/>
    </font>
  </fonts>
  <fills count="6">
    <fill>
      <patternFill/>
    </fill>
    <fill>
      <patternFill patternType="gray125"/>
    </fill>
    <fill>
      <patternFill patternType="solid">
        <fgColor rgb="001F2937"/>
      </patternFill>
    </fill>
    <fill>
      <patternFill patternType="solid">
        <fgColor rgb="00FEF3C7"/>
      </patternFill>
    </fill>
    <fill>
      <patternFill patternType="solid">
        <fgColor rgb="00DCFCE7"/>
      </patternFill>
    </fill>
    <fill>
      <patternFill patternType="solid">
        <fgColor rgb="00F3F4F6"/>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7" fillId="2" borderId="1" applyAlignment="1" pivotButton="0" quotePrefix="0" xfId="0">
      <alignment horizontal="left" vertical="center" wrapText="1"/>
    </xf>
    <xf numFmtId="0" fontId="5" fillId="0" borderId="1" applyAlignment="1" pivotButton="0" quotePrefix="0" xfId="0">
      <alignment vertical="top" wrapText="1"/>
    </xf>
    <xf numFmtId="0" fontId="5" fillId="3" borderId="1" applyAlignment="1" pivotButton="0" quotePrefix="0" xfId="0">
      <alignment vertical="top" wrapText="1"/>
    </xf>
    <xf numFmtId="0" fontId="7" fillId="2" borderId="0" pivotButton="0" quotePrefix="0" xfId="0"/>
    <xf numFmtId="0" fontId="5" fillId="0" borderId="1" pivotButton="0" quotePrefix="0" xfId="0"/>
    <xf numFmtId="164" fontId="0" fillId="0" borderId="0" pivotButton="0" quotePrefix="0" xfId="0"/>
    <xf numFmtId="0" fontId="2" fillId="0" borderId="0" applyAlignment="1" pivotButton="0" quotePrefix="0" xfId="0">
      <alignment vertical="top" wrapText="1"/>
    </xf>
    <xf numFmtId="0" fontId="7" fillId="2" borderId="1" applyAlignment="1" pivotButton="0" quotePrefix="0" xfId="0">
      <alignment horizontal="left" vertical="center"/>
    </xf>
    <xf numFmtId="0" fontId="4" fillId="4" borderId="1" applyAlignment="1" pivotButton="0" quotePrefix="0" xfId="0">
      <alignment vertical="top" wrapText="1"/>
    </xf>
    <xf numFmtId="0" fontId="5" fillId="5" borderId="1" applyAlignment="1" pivotButton="0" quotePrefix="0" xfId="0">
      <alignment vertical="top" wrapText="1"/>
    </xf>
    <xf numFmtId="0" fontId="8" fillId="4" borderId="1" applyAlignment="1" pivotButton="0" quotePrefix="0" xfId="0">
      <alignment vertical="top" wrapText="1"/>
    </xf>
    <xf numFmtId="2" fontId="8" fillId="4" borderId="1" applyAlignment="1" pivotButton="0" quotePrefix="0" xfId="0">
      <alignment vertical="top" wrapText="1"/>
    </xf>
    <xf numFmtId="0" fontId="8" fillId="3" borderId="1" applyAlignment="1" pivotButton="0" quotePrefix="0" xfId="0">
      <alignment vertical="top" wrapText="1"/>
    </xf>
    <xf numFmtId="2" fontId="8"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0" customWidth="1" min="1" max="1"/>
    <col width="110" customWidth="1" min="2" max="2"/>
  </cols>
  <sheetData>
    <row r="1">
      <c r="A1" s="1" t="inlineStr">
        <is>
          <t>MAD-map · Estructura de datos v2</t>
        </is>
      </c>
    </row>
    <row r="2">
      <c r="A2" s="2" t="inlineStr">
        <is>
          <t>Régimen sin áreas-MAD: Líneas troncales sostenidas por Laboratorios + sublíneas + temas.</t>
        </is>
      </c>
    </row>
    <row r="4">
      <c r="A4" s="3" t="inlineStr">
        <is>
          <t>Modelo relacional</t>
        </is>
      </c>
    </row>
    <row r="5">
      <c r="A5" s="4" t="inlineStr">
        <is>
          <t>Línea (4 troncales)</t>
        </is>
      </c>
      <c r="B5" s="5" t="inlineStr">
        <is>
          <t>Estructura superior. Lo que la Escuela declara y sostiene. BORRADOR.</t>
        </is>
      </c>
    </row>
    <row r="6">
      <c r="A6" s="4" t="inlineStr">
        <is>
          <t>Sublínea (~30)</t>
        </is>
      </c>
      <c r="B6" s="5" t="inlineStr">
        <is>
          <t>Pertenece a UNA sola Línea. Granularidad operativa. Banco depurado.</t>
        </is>
      </c>
    </row>
    <row r="7">
      <c r="A7" s="4" t="inlineStr">
        <is>
          <t>Tema declarado (~150)</t>
        </is>
      </c>
      <c r="B7" s="5" t="inlineStr">
        <is>
          <t>Tema textual del perfil de un investigador. Puede colgar de varias Sublíneas (m:n).</t>
        </is>
      </c>
    </row>
    <row r="8">
      <c r="A8" s="4" t="inlineStr">
        <is>
          <t>Investigador</t>
        </is>
      </c>
      <c r="B8" s="5" t="inlineStr">
        <is>
          <t>Profesor de la EAD-PUCV. Ancla los Temas. Afilia a Áreas, Labs y Modos.</t>
        </is>
      </c>
    </row>
    <row r="9">
      <c r="A9" s="4" t="inlineStr">
        <is>
          <t>Área del Postgrado</t>
        </is>
      </c>
      <c r="B9" s="5" t="inlineStr">
        <is>
          <t>ECH / EAA / FCT. Eje ortogonal — marco amplio, no contenedor jerárquico.</t>
        </is>
      </c>
    </row>
    <row r="10">
      <c r="A10" s="4" t="inlineStr">
        <is>
          <t>Modo de investigar</t>
        </is>
      </c>
      <c r="B10" s="5" t="inlineStr">
        <is>
          <t>Historiografía / Teoría crítica / Investigación proyectual. Atributo del Investigador y de la Línea.</t>
        </is>
      </c>
    </row>
    <row r="11">
      <c r="A11" s="4" t="inlineStr">
        <is>
          <t>Laboratorio (5)</t>
        </is>
      </c>
      <c r="B11" s="5" t="inlineStr">
        <is>
          <t>Grupo asociativo. Sostiene 1+ Líneas (m:n). Operacionaliza Salidas.</t>
        </is>
      </c>
    </row>
    <row r="12">
      <c r="A12" s="4" t="inlineStr">
        <is>
          <t>Salida</t>
        </is>
      </c>
      <c r="B12" s="5" t="inlineStr">
        <is>
          <t>Industria / Academia / Estado. Producida por Laboratorios.</t>
        </is>
      </c>
    </row>
    <row r="14">
      <c r="A14" s="3" t="inlineStr">
        <is>
          <t>Convenciones</t>
        </is>
      </c>
    </row>
    <row r="15">
      <c r="A15" s="4" t="inlineStr">
        <is>
          <t>BORRADOR (fondo amarillo)</t>
        </is>
      </c>
      <c r="B15" s="5" t="inlineStr">
        <is>
          <t>Filas/celdas con valores propuestos por revisar. La Línea-04 y los mapeos m:n están sujetos a curaduría.</t>
        </is>
      </c>
    </row>
    <row r="16">
      <c r="A16" s="4" t="inlineStr">
        <is>
          <t>IDs</t>
        </is>
      </c>
      <c r="B16" s="5" t="inlineStr">
        <is>
          <t>LIN-NN, SUB-NN, TEM-NNN, INV-NN, LAB-XXX, MOD-NN, SAL-XXX. Estables — no renombrar tras enlazar.</t>
        </is>
      </c>
    </row>
    <row r="17">
      <c r="A17" s="4" t="inlineStr">
        <is>
          <t>Cardinalidad Sublínea→Línea</t>
        </is>
      </c>
      <c r="B17" s="5" t="inlineStr">
        <is>
          <t>1:N estricta (una Sublínea pertenece a UNA Línea). Cambia el linea_id si el ajuste lo amerita.</t>
        </is>
      </c>
    </row>
    <row r="18">
      <c r="A18" s="4" t="inlineStr">
        <is>
          <t>Cardinalidad Tema→Sublínea</t>
        </is>
      </c>
      <c r="B18" s="5" t="inlineStr">
        <is>
          <t>M:N (un Tema puede colgar de varias Sublíneas). Editar en la hoja 09_Sublinea_Tema.</t>
        </is>
      </c>
    </row>
    <row r="19">
      <c r="A19" s="4" t="inlineStr">
        <is>
          <t>Cardinalidad Lab→Línea</t>
        </is>
      </c>
      <c r="B19" s="5" t="inlineStr">
        <is>
          <t>M:N. Un Lab puede sostener varias Líneas. Editar en 10_Lab_Linea.</t>
        </is>
      </c>
    </row>
    <row r="20">
      <c r="A20" s="4" t="inlineStr">
        <is>
          <t>Decisiones pendientes</t>
        </is>
      </c>
      <c r="B20" s="5" t="inlineStr">
        <is>
          <t>Hoja 15_Decisiones — preguntas abiertas que afectan el modelo.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pane ySplit="4" topLeftCell="A5" activePane="bottomLeft" state="frozen"/>
      <selection pane="bottomLeft" activeCell="A1" sqref="A1"/>
    </sheetView>
  </sheetViews>
  <sheetFormatPr baseColWidth="8" defaultRowHeight="15"/>
  <cols>
    <col width="12" customWidth="1" min="1" max="1"/>
    <col width="55" customWidth="1" min="2" max="2"/>
    <col width="95" customWidth="1" min="3" max="3"/>
    <col width="26" customWidth="1" min="4" max="4"/>
  </cols>
  <sheetData>
    <row r="1">
      <c r="A1" s="6" t="inlineStr">
        <is>
          <t>01 · Líneas troncales (4 a definir — BORRADOR)</t>
        </is>
      </c>
    </row>
    <row r="2">
      <c r="A2" s="2" t="inlineStr">
        <is>
          <t>Cada Sublínea pertenece a una Línea. Los Laboratorios pueden sostener una o varias Líneas. Borrador derivado de la hipótesis de compactación.</t>
        </is>
      </c>
    </row>
    <row r="4">
      <c r="A4" s="7" t="inlineStr">
        <is>
          <t>id</t>
        </is>
      </c>
      <c r="B4" s="7" t="inlineStr">
        <is>
          <t>nombre</t>
        </is>
      </c>
      <c r="C4" s="7" t="inlineStr">
        <is>
          <t>descripción</t>
        </is>
      </c>
      <c r="D4" s="7" t="inlineStr">
        <is>
          <t>estado</t>
        </is>
      </c>
    </row>
    <row r="5">
      <c r="A5" s="8" t="inlineStr">
        <is>
          <t>LIN-01</t>
        </is>
      </c>
      <c r="B5" s="8" t="inlineStr">
        <is>
          <t>Personas, interacción y sistemas inclusivos</t>
        </is>
      </c>
      <c r="C5" s="8" t="inlineStr">
        <is>
          <t>Investigación sobre las condiciones de quien habita: accesibilidad e inclusión, codiseño, comunicación aumentativa y alternativa, diseño de interacción y servicios, sistemas inteligentes orientados a la diversidad funcional, la autonomía y la democracia.</t>
        </is>
      </c>
      <c r="D5" s="8" t="inlineStr">
        <is>
          <t>consolidada</t>
        </is>
      </c>
    </row>
    <row r="6">
      <c r="A6" s="8" t="inlineStr">
        <is>
          <t>LIN-02</t>
        </is>
      </c>
      <c r="B6" s="8" t="inlineStr">
        <is>
          <t>Habitar, infraestructura y ecologías territoriales</t>
        </is>
      </c>
      <c r="C6" s="8" t="inlineStr">
        <is>
          <t>Investigación sobre las condiciones de dónde se habita: ciudad, urbanización, ecología política, patrimonio territorial, borde costero, infraestructura urbana, vulnerabilidad y adaptación, prácticas urbanas colectivas y reuso del territorio.</t>
        </is>
      </c>
      <c r="D6" s="8" t="inlineStr">
        <is>
          <t>consolidada</t>
        </is>
      </c>
    </row>
    <row r="7">
      <c r="A7" s="8" t="inlineStr">
        <is>
          <t>LIN-03</t>
        </is>
      </c>
      <c r="B7" s="8" t="inlineStr">
        <is>
          <t>Teoría e historia de la arquitectura y el diseño</t>
        </is>
      </c>
      <c r="C7" s="8" t="inlineStr">
        <is>
          <t>Investigación sobre las condiciones desde dónde se piensa: acervo histórico de la e[ad] y Ciudad Abierta, historia y crítica de la arquitectura moderna, teoría del proyecto, conceptos disciplinares como hospitalidad y vacío arquitectónico.</t>
        </is>
      </c>
      <c r="D7" s="8" t="inlineStr">
        <is>
          <t>consolidada</t>
        </is>
      </c>
    </row>
    <row r="8">
      <c r="A8" s="8" t="inlineStr">
        <is>
          <t>LIN-04</t>
        </is>
      </c>
      <c r="B8" s="8" t="inlineStr">
        <is>
          <t>Oficio, tecnologías y aprendizaje proyectual</t>
        </is>
      </c>
      <c r="C8" s="8" t="inlineStr">
        <is>
          <t>Investigación sobre las condiciones con qué se hace y cómo se transmite: métodos de diseño, oficio, saberes técnicos, fabricación digital y transferencia tecnológica, espacios educativos y pedagogía del proyecto.</t>
        </is>
      </c>
      <c r="D8" s="8" t="inlineStr">
        <is>
          <t>consolidada</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7"/>
  <sheetViews>
    <sheetView workbookViewId="0">
      <pane ySplit="4" topLeftCell="A5" activePane="bottomLeft" state="frozen"/>
      <selection pane="bottomLeft" activeCell="A1" sqref="A1"/>
    </sheetView>
  </sheetViews>
  <sheetFormatPr baseColWidth="8" defaultRowHeight="15"/>
  <cols>
    <col width="10" customWidth="1" min="1" max="1"/>
    <col width="55" customWidth="1" min="2" max="2"/>
    <col width="12" customWidth="1" min="3" max="3"/>
    <col width="10" customWidth="1" min="4" max="4"/>
    <col width="50" customWidth="1" min="5" max="5"/>
  </cols>
  <sheetData>
    <row r="1">
      <c r="A1" s="6" t="inlineStr">
        <is>
          <t>02 · Sublíneas (banco depurado, ~30)</t>
        </is>
      </c>
    </row>
    <row r="2">
      <c r="A2" s="2" t="inlineStr">
        <is>
          <t>Cada sublínea pertenece a UNA línea troncal. La asignación linea_id es BORRADOR — revisar caso por caso.</t>
        </is>
      </c>
    </row>
    <row r="4">
      <c r="A4" s="7" t="inlineStr">
        <is>
          <t>id</t>
        </is>
      </c>
      <c r="B4" s="7" t="inlineStr">
        <is>
          <t>nombre</t>
        </is>
      </c>
      <c r="C4" s="7" t="inlineStr">
        <is>
          <t>linea_id</t>
        </is>
      </c>
      <c r="D4" s="7" t="inlineStr">
        <is>
          <t>area_id</t>
        </is>
      </c>
      <c r="E4" s="7" t="inlineStr">
        <is>
          <t>notas</t>
        </is>
      </c>
    </row>
    <row r="5">
      <c r="A5" s="8" t="inlineStr">
        <is>
          <t>SUB-01</t>
        </is>
      </c>
      <c r="B5" s="8" t="inlineStr">
        <is>
          <t>Accesibilidad cognitiva y codiseño</t>
        </is>
      </c>
      <c r="C5" s="8" t="inlineStr">
        <is>
          <t>LIN-01</t>
        </is>
      </c>
      <c r="D5" s="8" t="inlineStr">
        <is>
          <t>FCT</t>
        </is>
      </c>
      <c r="E5" s="8" t="inlineStr"/>
    </row>
    <row r="6">
      <c r="A6" s="8" t="inlineStr">
        <is>
          <t>SUB-02</t>
        </is>
      </c>
      <c r="B6" s="8" t="inlineStr">
        <is>
          <t>Accesibilidad e inclusión</t>
        </is>
      </c>
      <c r="C6" s="8" t="inlineStr">
        <is>
          <t>LIN-01</t>
        </is>
      </c>
      <c r="D6" s="8" t="inlineStr">
        <is>
          <t>FCT</t>
        </is>
      </c>
      <c r="E6" s="8" t="inlineStr"/>
    </row>
    <row r="7">
      <c r="A7" s="8" t="inlineStr">
        <is>
          <t>SUB-03</t>
        </is>
      </c>
      <c r="B7" s="8" t="inlineStr">
        <is>
          <t>Acervo histórico de Ciudad Abierta y de la Escuela de Arquitectura y Diseño</t>
        </is>
      </c>
      <c r="C7" s="8" t="inlineStr">
        <is>
          <t>LIN-03</t>
        </is>
      </c>
      <c r="D7" s="8" t="inlineStr">
        <is>
          <t>EAA</t>
        </is>
      </c>
      <c r="E7" s="8" t="inlineStr"/>
    </row>
    <row r="8">
      <c r="A8" s="8" t="inlineStr">
        <is>
          <t>SUB-04</t>
        </is>
      </c>
      <c r="B8" s="8" t="inlineStr">
        <is>
          <t>Adaptabilidad urbana ante riesgos costeros</t>
        </is>
      </c>
      <c r="C8" s="8" t="inlineStr">
        <is>
          <t>LIN-02</t>
        </is>
      </c>
      <c r="D8" s="8" t="inlineStr">
        <is>
          <t>ECH</t>
        </is>
      </c>
      <c r="E8" s="8" t="inlineStr"/>
    </row>
    <row r="9">
      <c r="A9" s="8" t="inlineStr">
        <is>
          <t>SUB-05</t>
        </is>
      </c>
      <c r="B9" s="8" t="inlineStr">
        <is>
          <t>Adaptación formal ante desastres</t>
        </is>
      </c>
      <c r="C9" s="8" t="inlineStr">
        <is>
          <t>LIN-02</t>
        </is>
      </c>
      <c r="D9" s="8" t="inlineStr">
        <is>
          <t>ECH</t>
        </is>
      </c>
      <c r="E9" s="8" t="inlineStr"/>
    </row>
    <row r="10">
      <c r="A10" s="8" t="inlineStr">
        <is>
          <t>SUB-06</t>
        </is>
      </c>
      <c r="B10" s="8" t="inlineStr">
        <is>
          <t>Arquitectura como medio didáctico</t>
        </is>
      </c>
      <c r="C10" s="8" t="inlineStr">
        <is>
          <t>LIN-04</t>
        </is>
      </c>
      <c r="D10" s="8" t="inlineStr">
        <is>
          <t>EAA</t>
        </is>
      </c>
      <c r="E10" s="8" t="inlineStr">
        <is>
          <t>migró a LIN-04 (aprendizaje proyectual)</t>
        </is>
      </c>
    </row>
    <row r="11">
      <c r="A11" s="8" t="inlineStr">
        <is>
          <t>SUB-07</t>
        </is>
      </c>
      <c r="B11" s="8" t="inlineStr">
        <is>
          <t>Comunicación aumentativa y alternativa</t>
        </is>
      </c>
      <c r="C11" s="8" t="inlineStr">
        <is>
          <t>LIN-01</t>
        </is>
      </c>
      <c r="D11" s="8" t="inlineStr">
        <is>
          <t>FCT</t>
        </is>
      </c>
      <c r="E11" s="8" t="inlineStr"/>
    </row>
    <row r="12">
      <c r="A12" s="8" t="inlineStr">
        <is>
          <t>SUB-08</t>
        </is>
      </c>
      <c r="B12" s="8" t="inlineStr">
        <is>
          <t>Diseño arquitectónico</t>
        </is>
      </c>
      <c r="C12" s="8" t="inlineStr">
        <is>
          <t>LIN-03</t>
        </is>
      </c>
      <c r="D12" s="8" t="inlineStr">
        <is>
          <t>EAA</t>
        </is>
      </c>
      <c r="E12" s="8" t="inlineStr"/>
    </row>
    <row r="13">
      <c r="A13" s="8" t="inlineStr">
        <is>
          <t>SUB-09</t>
        </is>
      </c>
      <c r="B13" s="8" t="inlineStr">
        <is>
          <t>Diseño de espacios educativos</t>
        </is>
      </c>
      <c r="C13" s="8" t="inlineStr">
        <is>
          <t>LIN-04</t>
        </is>
      </c>
      <c r="D13" s="8" t="inlineStr">
        <is>
          <t>EAA</t>
        </is>
      </c>
      <c r="E13" s="8" t="inlineStr">
        <is>
          <t>migró a LIN-04</t>
        </is>
      </c>
    </row>
    <row r="14">
      <c r="A14" s="8" t="inlineStr">
        <is>
          <t>SUB-10</t>
        </is>
      </c>
      <c r="B14" s="8" t="inlineStr">
        <is>
          <t>Diseño de interacción, servicios y experiencia de usuario</t>
        </is>
      </c>
      <c r="C14" s="8" t="inlineStr">
        <is>
          <t>LIN-01</t>
        </is>
      </c>
      <c r="D14" s="8" t="inlineStr">
        <is>
          <t>FCT</t>
        </is>
      </c>
      <c r="E14" s="8" t="inlineStr"/>
    </row>
    <row r="15">
      <c r="A15" s="8" t="inlineStr">
        <is>
          <t>SUB-11</t>
        </is>
      </c>
      <c r="B15" s="8" t="inlineStr">
        <is>
          <t>Diseño y vida independiente</t>
        </is>
      </c>
      <c r="C15" s="8" t="inlineStr">
        <is>
          <t>LIN-01</t>
        </is>
      </c>
      <c r="D15" s="8" t="inlineStr">
        <is>
          <t>FCT</t>
        </is>
      </c>
      <c r="E15" s="8" t="inlineStr"/>
    </row>
    <row r="16">
      <c r="A16" s="8" t="inlineStr">
        <is>
          <t>SUB-12</t>
        </is>
      </c>
      <c r="B16" s="8" t="inlineStr">
        <is>
          <t>El sentido de la hospitalidad</t>
        </is>
      </c>
      <c r="C16" s="8" t="inlineStr">
        <is>
          <t>LIN-03</t>
        </is>
      </c>
      <c r="D16" s="8" t="inlineStr">
        <is>
          <t>EAA</t>
        </is>
      </c>
      <c r="E16" s="8" t="inlineStr"/>
    </row>
    <row r="17">
      <c r="A17" s="8" t="inlineStr">
        <is>
          <t>SUB-13</t>
        </is>
      </c>
      <c r="B17" s="8" t="inlineStr">
        <is>
          <t>El vacío arquitectónico</t>
        </is>
      </c>
      <c r="C17" s="8" t="inlineStr">
        <is>
          <t>LIN-03</t>
        </is>
      </c>
      <c r="D17" s="8" t="inlineStr">
        <is>
          <t>EAA</t>
        </is>
      </c>
      <c r="E17" s="8" t="inlineStr"/>
    </row>
    <row r="18">
      <c r="A18" s="8" t="inlineStr">
        <is>
          <t>SUB-14</t>
        </is>
      </c>
      <c r="B18" s="8" t="inlineStr">
        <is>
          <t>Espacios de aprendizaje en contextos vulnerables</t>
        </is>
      </c>
      <c r="C18" s="8" t="inlineStr">
        <is>
          <t>LIN-04</t>
        </is>
      </c>
      <c r="D18" s="8" t="inlineStr">
        <is>
          <t>EAA</t>
        </is>
      </c>
      <c r="E18" s="8" t="inlineStr">
        <is>
          <t>migró a LIN-04</t>
        </is>
      </c>
    </row>
    <row r="19">
      <c r="A19" s="8" t="inlineStr">
        <is>
          <t>SUB-15</t>
        </is>
      </c>
      <c r="B19" s="8" t="inlineStr">
        <is>
          <t>Espacios de estimulación temprana</t>
        </is>
      </c>
      <c r="C19" s="8" t="inlineStr">
        <is>
          <t>LIN-04</t>
        </is>
      </c>
      <c r="D19" s="8" t="inlineStr">
        <is>
          <t>EAA</t>
        </is>
      </c>
      <c r="E19" s="8" t="inlineStr">
        <is>
          <t>migró a LIN-04</t>
        </is>
      </c>
    </row>
    <row r="20">
      <c r="A20" s="8" t="inlineStr">
        <is>
          <t>SUB-16</t>
        </is>
      </c>
      <c r="B20" s="8" t="inlineStr">
        <is>
          <t>Espacios educativos en contextos vulnerables</t>
        </is>
      </c>
      <c r="C20" s="8" t="inlineStr">
        <is>
          <t>LIN-04</t>
        </is>
      </c>
      <c r="D20" s="8" t="inlineStr">
        <is>
          <t>EAA</t>
        </is>
      </c>
      <c r="E20" s="8" t="inlineStr">
        <is>
          <t>migró a LIN-04</t>
        </is>
      </c>
    </row>
    <row r="21">
      <c r="A21" s="8" t="inlineStr">
        <is>
          <t>SUB-17</t>
        </is>
      </c>
      <c r="B21" s="8" t="inlineStr">
        <is>
          <t>Formación en pensamiento y acción creativa</t>
        </is>
      </c>
      <c r="C21" s="8" t="inlineStr">
        <is>
          <t>LIN-04</t>
        </is>
      </c>
      <c r="D21" s="8" t="inlineStr">
        <is>
          <t>FCT</t>
        </is>
      </c>
      <c r="E21" s="8" t="inlineStr"/>
    </row>
    <row r="22">
      <c r="A22" s="8" t="inlineStr">
        <is>
          <t>SUB-18</t>
        </is>
      </c>
      <c r="B22" s="8" t="inlineStr">
        <is>
          <t>Industrias creativas e innovación social para el desarrollo local</t>
        </is>
      </c>
      <c r="C22" s="8" t="inlineStr">
        <is>
          <t>LIN-04</t>
        </is>
      </c>
      <c r="D22" s="8" t="inlineStr">
        <is>
          <t>FCT</t>
        </is>
      </c>
      <c r="E22" s="8" t="inlineStr"/>
    </row>
    <row r="23">
      <c r="A23" s="8" t="inlineStr">
        <is>
          <t>SUB-19</t>
        </is>
      </c>
      <c r="B23" s="8" t="inlineStr">
        <is>
          <t>Medios de aprendizaje en arquitectura y diseño</t>
        </is>
      </c>
      <c r="C23" s="8" t="inlineStr">
        <is>
          <t>LIN-04</t>
        </is>
      </c>
      <c r="D23" s="8" t="inlineStr">
        <is>
          <t>EAA</t>
        </is>
      </c>
      <c r="E23" s="8" t="inlineStr">
        <is>
          <t>migró a LIN-04</t>
        </is>
      </c>
    </row>
    <row r="24">
      <c r="A24" s="8" t="inlineStr">
        <is>
          <t>SUB-20</t>
        </is>
      </c>
      <c r="B24" s="8" t="inlineStr">
        <is>
          <t>Métodos de diseño</t>
        </is>
      </c>
      <c r="C24" s="8" t="inlineStr">
        <is>
          <t>LIN-04</t>
        </is>
      </c>
      <c r="D24" s="8" t="inlineStr">
        <is>
          <t>FCT</t>
        </is>
      </c>
      <c r="E24" s="8" t="inlineStr"/>
    </row>
    <row r="25">
      <c r="A25" s="8" t="inlineStr">
        <is>
          <t>SUB-21</t>
        </is>
      </c>
      <c r="B25" s="8" t="inlineStr">
        <is>
          <t>Perspectivas decoloniales</t>
        </is>
      </c>
      <c r="C25" s="8" t="inlineStr">
        <is>
          <t>LIN-02</t>
        </is>
      </c>
      <c r="D25" s="8" t="inlineStr">
        <is>
          <t>FCT</t>
        </is>
      </c>
      <c r="E25" s="8" t="inlineStr">
        <is>
          <t>podría leerse en LIN-01 según énfasis</t>
        </is>
      </c>
    </row>
    <row r="26">
      <c r="A26" s="8" t="inlineStr">
        <is>
          <t>SUB-22</t>
        </is>
      </c>
      <c r="B26" s="8" t="inlineStr">
        <is>
          <t>Prácticas colectivas</t>
        </is>
      </c>
      <c r="C26" s="8" t="inlineStr">
        <is>
          <t>LIN-02</t>
        </is>
      </c>
      <c r="D26" s="8" t="inlineStr">
        <is>
          <t>EAA</t>
        </is>
      </c>
      <c r="E26" s="8" t="inlineStr">
        <is>
          <t>transversal — colocar donde tenga más respaldo</t>
        </is>
      </c>
    </row>
    <row r="27">
      <c r="A27" s="8" t="inlineStr">
        <is>
          <t>SUB-23</t>
        </is>
      </c>
      <c r="B27" s="8" t="inlineStr">
        <is>
          <t>Programas educativos y espacios escolares</t>
        </is>
      </c>
      <c r="C27" s="8" t="inlineStr">
        <is>
          <t>LIN-04</t>
        </is>
      </c>
      <c r="D27" s="8" t="inlineStr">
        <is>
          <t>EAA</t>
        </is>
      </c>
      <c r="E27" s="8" t="inlineStr">
        <is>
          <t>migró a LIN-04</t>
        </is>
      </c>
    </row>
    <row r="28">
      <c r="A28" s="8" t="inlineStr">
        <is>
          <t>SUB-24</t>
        </is>
      </c>
      <c r="B28" s="8" t="inlineStr">
        <is>
          <t>Proyecto de arquitectura escolar</t>
        </is>
      </c>
      <c r="C28" s="8" t="inlineStr">
        <is>
          <t>LIN-04</t>
        </is>
      </c>
      <c r="D28" s="8" t="inlineStr">
        <is>
          <t>EAA</t>
        </is>
      </c>
      <c r="E28" s="8" t="inlineStr">
        <is>
          <t>migró a LIN-04</t>
        </is>
      </c>
    </row>
    <row r="29">
      <c r="A29" s="8" t="inlineStr">
        <is>
          <t>SUB-25</t>
        </is>
      </c>
      <c r="B29" s="8" t="inlineStr">
        <is>
          <t>Saberes técnicos análogos</t>
        </is>
      </c>
      <c r="C29" s="8" t="inlineStr">
        <is>
          <t>LIN-04</t>
        </is>
      </c>
      <c r="D29" s="8" t="inlineStr">
        <is>
          <t>FCT</t>
        </is>
      </c>
      <c r="E29" s="8" t="inlineStr"/>
    </row>
    <row r="30">
      <c r="A30" s="8" t="inlineStr">
        <is>
          <t>SUB-26</t>
        </is>
      </c>
      <c r="B30" s="8" t="inlineStr">
        <is>
          <t>Teoría e historia de la arquitectura</t>
        </is>
      </c>
      <c r="C30" s="8" t="inlineStr">
        <is>
          <t>LIN-03</t>
        </is>
      </c>
      <c r="D30" s="8" t="inlineStr">
        <is>
          <t>EAA</t>
        </is>
      </c>
      <c r="E30" s="8" t="inlineStr"/>
    </row>
    <row r="31">
      <c r="A31" s="8" t="inlineStr">
        <is>
          <t>SUB-27</t>
        </is>
      </c>
      <c r="B31" s="8" t="inlineStr">
        <is>
          <t>Transferencia de medios tecnológicos con aplicación al emprendimiento local</t>
        </is>
      </c>
      <c r="C31" s="8" t="inlineStr">
        <is>
          <t>LIN-04</t>
        </is>
      </c>
      <c r="D31" s="8" t="inlineStr">
        <is>
          <t>FCT</t>
        </is>
      </c>
      <c r="E31" s="8" t="inlineStr"/>
    </row>
    <row r="32">
      <c r="A32" s="8" t="inlineStr">
        <is>
          <t>SUB-28</t>
        </is>
      </c>
      <c r="B32" s="8" t="inlineStr">
        <is>
          <t>Travesías y geopoética</t>
        </is>
      </c>
      <c r="C32" s="8" t="inlineStr">
        <is>
          <t>LIN-02</t>
        </is>
      </c>
      <c r="D32" s="8" t="inlineStr">
        <is>
          <t>ECH</t>
        </is>
      </c>
      <c r="E32" s="8" t="inlineStr"/>
    </row>
    <row r="33">
      <c r="A33" s="8" t="inlineStr">
        <is>
          <t>SUB-29</t>
        </is>
      </c>
      <c r="B33" s="8" t="inlineStr">
        <is>
          <t>Urbanización, urbanismo y ecología política</t>
        </is>
      </c>
      <c r="C33" s="8" t="inlineStr">
        <is>
          <t>LIN-02</t>
        </is>
      </c>
      <c r="D33" s="8" t="inlineStr">
        <is>
          <t>ECH</t>
        </is>
      </c>
      <c r="E33" s="8" t="inlineStr"/>
    </row>
    <row r="34">
      <c r="A34" s="8" t="inlineStr">
        <is>
          <t>SUB-30</t>
        </is>
      </c>
      <c r="B34" s="8" t="inlineStr">
        <is>
          <t>Vulnerabilidad física de asentamientos costeros</t>
        </is>
      </c>
      <c r="C34" s="8" t="inlineStr">
        <is>
          <t>LIN-02</t>
        </is>
      </c>
      <c r="D34" s="8" t="inlineStr">
        <is>
          <t>ECH</t>
        </is>
      </c>
      <c r="E34" s="8" t="inlineStr"/>
    </row>
    <row r="35">
      <c r="A35" s="8" t="inlineStr">
        <is>
          <t>SUB-31</t>
        </is>
      </c>
      <c r="B35" s="8" t="inlineStr">
        <is>
          <t>Vivienda, financiarización y políticas habitacionales</t>
        </is>
      </c>
      <c r="C35" s="8" t="inlineStr">
        <is>
          <t>LIN-02</t>
        </is>
      </c>
      <c r="D35" s="8" t="inlineStr">
        <is>
          <t>ECH</t>
        </is>
      </c>
      <c r="E35" s="8" t="inlineStr">
        <is>
          <t>nueva</t>
        </is>
      </c>
    </row>
    <row r="36">
      <c r="A36" s="8" t="inlineStr">
        <is>
          <t>SUB-32</t>
        </is>
      </c>
      <c r="B36" s="8" t="inlineStr">
        <is>
          <t>Comunes, comunalidad y resiliencias socioecológicas</t>
        </is>
      </c>
      <c r="C36" s="8" t="inlineStr">
        <is>
          <t>LIN-02</t>
        </is>
      </c>
      <c r="D36" s="8" t="inlineStr">
        <is>
          <t>ECH</t>
        </is>
      </c>
      <c r="E36" s="8" t="inlineStr">
        <is>
          <t>nueva</t>
        </is>
      </c>
    </row>
    <row r="37">
      <c r="A37" s="8" t="inlineStr">
        <is>
          <t>SUB-33</t>
        </is>
      </c>
      <c r="B37" s="8" t="inlineStr">
        <is>
          <t>Movilidad, infraestructura urbana y equipamiento</t>
        </is>
      </c>
      <c r="C37" s="8" t="inlineStr">
        <is>
          <t>LIN-02</t>
        </is>
      </c>
      <c r="D37" s="8" t="inlineStr">
        <is>
          <t>ECH</t>
        </is>
      </c>
      <c r="E37" s="8" t="inlineStr">
        <is>
          <t>nueva</t>
        </is>
      </c>
    </row>
    <row r="38">
      <c r="A38" s="8" t="inlineStr">
        <is>
          <t>SUB-34</t>
        </is>
      </c>
      <c r="B38" s="8" t="inlineStr">
        <is>
          <t>Ciudad-teatro y apropiación escénica del espacio público</t>
        </is>
      </c>
      <c r="C38" s="8" t="inlineStr">
        <is>
          <t>LIN-02</t>
        </is>
      </c>
      <c r="D38" s="8" t="inlineStr">
        <is>
          <t>ECH</t>
        </is>
      </c>
      <c r="E38" s="8" t="inlineStr">
        <is>
          <t>nueva</t>
        </is>
      </c>
    </row>
    <row r="39">
      <c r="A39" s="8" t="inlineStr">
        <is>
          <t>SUB-35</t>
        </is>
      </c>
      <c r="B39" s="8" t="inlineStr">
        <is>
          <t>Naturaleza, paisaje y patrimonio natural</t>
        </is>
      </c>
      <c r="C39" s="8" t="inlineStr">
        <is>
          <t>LIN-02</t>
        </is>
      </c>
      <c r="D39" s="8" t="inlineStr">
        <is>
          <t>ECH</t>
        </is>
      </c>
      <c r="E39" s="8" t="inlineStr">
        <is>
          <t>nueva</t>
        </is>
      </c>
    </row>
    <row r="40">
      <c r="A40" s="8" t="inlineStr">
        <is>
          <t>SUB-36</t>
        </is>
      </c>
      <c r="B40" s="8" t="inlineStr">
        <is>
          <t>Patrimonio arquitectónico y rehabilitación</t>
        </is>
      </c>
      <c r="C40" s="8" t="inlineStr">
        <is>
          <t>LIN-02</t>
        </is>
      </c>
      <c r="D40" s="8" t="inlineStr">
        <is>
          <t>ECH</t>
        </is>
      </c>
      <c r="E40" s="8" t="inlineStr">
        <is>
          <t>nueva</t>
        </is>
      </c>
    </row>
    <row r="41">
      <c r="A41" s="8" t="inlineStr">
        <is>
          <t>SUB-37</t>
        </is>
      </c>
      <c r="B41" s="8" t="inlineStr">
        <is>
          <t>Urbanismo afectivo, deriva y reuso del patrimonio</t>
        </is>
      </c>
      <c r="C41" s="8" t="inlineStr">
        <is>
          <t>LIN-02</t>
        </is>
      </c>
      <c r="D41" s="8" t="inlineStr">
        <is>
          <t>ECH</t>
        </is>
      </c>
      <c r="E41" s="8" t="inlineStr">
        <is>
          <t>nueva</t>
        </is>
      </c>
    </row>
    <row r="42">
      <c r="A42" s="8" t="inlineStr">
        <is>
          <t>SUB-38</t>
        </is>
      </c>
      <c r="B42" s="8" t="inlineStr">
        <is>
          <t>Investigación-acción y artes urbanas</t>
        </is>
      </c>
      <c r="C42" s="8" t="inlineStr">
        <is>
          <t>LIN-02</t>
        </is>
      </c>
      <c r="D42" s="8" t="inlineStr">
        <is>
          <t>ECH</t>
        </is>
      </c>
      <c r="E42" s="8" t="inlineStr">
        <is>
          <t>nueva</t>
        </is>
      </c>
    </row>
    <row r="43">
      <c r="A43" s="8" t="inlineStr">
        <is>
          <t>SUB-39</t>
        </is>
      </c>
      <c r="B43" s="8" t="inlineStr">
        <is>
          <t>Evaluación social y políticas públicas de inversión</t>
        </is>
      </c>
      <c r="C43" s="8" t="inlineStr">
        <is>
          <t>LIN-02</t>
        </is>
      </c>
      <c r="D43" s="8" t="inlineStr">
        <is>
          <t>ECH</t>
        </is>
      </c>
      <c r="E43" s="8" t="inlineStr">
        <is>
          <t>nueva</t>
        </is>
      </c>
    </row>
    <row r="44">
      <c r="A44" s="8" t="inlineStr">
        <is>
          <t>SUB-40</t>
        </is>
      </c>
      <c r="B44" s="8" t="inlineStr">
        <is>
          <t>Mobiliario, vida cotidiana y materialidad de la obra</t>
        </is>
      </c>
      <c r="C44" s="8" t="inlineStr">
        <is>
          <t>LIN-04</t>
        </is>
      </c>
      <c r="D44" s="8" t="inlineStr">
        <is>
          <t>FCT</t>
        </is>
      </c>
      <c r="E44" s="8" t="inlineStr">
        <is>
          <t>nueva</t>
        </is>
      </c>
    </row>
    <row r="45">
      <c r="A45" s="8" t="inlineStr">
        <is>
          <t>SUB-41</t>
        </is>
      </c>
      <c r="B45" s="8" t="inlineStr">
        <is>
          <t>Fabricación digital, modelado paramétrico y fablabs</t>
        </is>
      </c>
      <c r="C45" s="8" t="inlineStr">
        <is>
          <t>LIN-04</t>
        </is>
      </c>
      <c r="D45" s="8" t="inlineStr">
        <is>
          <t>FCT</t>
        </is>
      </c>
      <c r="E45" s="8" t="inlineStr">
        <is>
          <t>nueva — núcleo Jeldes</t>
        </is>
      </c>
    </row>
    <row r="46">
      <c r="A46" s="8" t="inlineStr">
        <is>
          <t>SUB-42</t>
        </is>
      </c>
      <c r="B46" s="8" t="inlineStr">
        <is>
          <t>Diseño para la democracia y comunicación ciudadana</t>
        </is>
      </c>
      <c r="C46" s="8" t="inlineStr">
        <is>
          <t>LIN-01</t>
        </is>
      </c>
      <c r="D46" s="8" t="inlineStr">
        <is>
          <t>FCT</t>
        </is>
      </c>
      <c r="E46" s="8" t="inlineStr">
        <is>
          <t>nueva</t>
        </is>
      </c>
    </row>
    <row r="47">
      <c r="A47" s="8" t="inlineStr">
        <is>
          <t>SUB-43</t>
        </is>
      </c>
      <c r="B47" s="8" t="inlineStr">
        <is>
          <t>Comunicación visual, diseño editorial y exposición material</t>
        </is>
      </c>
      <c r="C47" s="8" t="inlineStr">
        <is>
          <t>LIN-04</t>
        </is>
      </c>
      <c r="D47" s="8" t="inlineStr">
        <is>
          <t>FCT</t>
        </is>
      </c>
      <c r="E47" s="8" t="inlineStr">
        <is>
          <t>nueva</t>
        </is>
      </c>
    </row>
    <row r="48">
      <c r="A48" s="8" t="inlineStr">
        <is>
          <t>SUB-44</t>
        </is>
      </c>
      <c r="B48" s="8" t="inlineStr">
        <is>
          <t>Diseño social, territorial y patrimonio cultural</t>
        </is>
      </c>
      <c r="C48" s="8" t="inlineStr">
        <is>
          <t>LIN-02</t>
        </is>
      </c>
      <c r="D48" s="8" t="inlineStr">
        <is>
          <t>FCT</t>
        </is>
      </c>
      <c r="E48" s="8" t="inlineStr">
        <is>
          <t>nueva</t>
        </is>
      </c>
    </row>
    <row r="49">
      <c r="A49" s="8" t="inlineStr">
        <is>
          <t>SUB-45</t>
        </is>
      </c>
      <c r="B49" s="8" t="inlineStr">
        <is>
          <t>Confort, bienestar y habitabilidad personal</t>
        </is>
      </c>
      <c r="C49" s="8" t="inlineStr">
        <is>
          <t>LIN-02</t>
        </is>
      </c>
      <c r="D49" s="8" t="inlineStr">
        <is>
          <t>FCT</t>
        </is>
      </c>
      <c r="E49" s="8" t="inlineStr">
        <is>
          <t>nueva</t>
        </is>
      </c>
    </row>
    <row r="50">
      <c r="A50" s="8" t="inlineStr">
        <is>
          <t>SUB-46</t>
        </is>
      </c>
      <c r="B50" s="8" t="inlineStr">
        <is>
          <t>Máquinas expresivas, algoritmos y arte tecnológico</t>
        </is>
      </c>
      <c r="C50" s="8" t="inlineStr">
        <is>
          <t>LIN-04</t>
        </is>
      </c>
      <c r="D50" s="8" t="inlineStr">
        <is>
          <t>FCT</t>
        </is>
      </c>
      <c r="E50" s="8" t="inlineStr">
        <is>
          <t>nueva</t>
        </is>
      </c>
    </row>
    <row r="51">
      <c r="A51" s="8" t="inlineStr">
        <is>
          <t>SUB-47</t>
        </is>
      </c>
      <c r="B51" s="8" t="inlineStr">
        <is>
          <t>Tecnología, sociedad y techné</t>
        </is>
      </c>
      <c r="C51" s="8" t="inlineStr">
        <is>
          <t>LIN-03</t>
        </is>
      </c>
      <c r="D51" s="8" t="inlineStr">
        <is>
          <t>FCT</t>
        </is>
      </c>
      <c r="E51" s="8" t="inlineStr">
        <is>
          <t>nueva</t>
        </is>
      </c>
    </row>
    <row r="52">
      <c r="A52" s="8" t="inlineStr">
        <is>
          <t>SUB-48</t>
        </is>
      </c>
      <c r="B52" s="8" t="inlineStr">
        <is>
          <t>Arte y arquitectura</t>
        </is>
      </c>
      <c r="C52" s="8" t="inlineStr">
        <is>
          <t>LIN-03</t>
        </is>
      </c>
      <c r="D52" s="8" t="inlineStr">
        <is>
          <t>EAA</t>
        </is>
      </c>
      <c r="E52" s="8" t="inlineStr">
        <is>
          <t>nueva</t>
        </is>
      </c>
    </row>
    <row r="53">
      <c r="A53" s="8" t="inlineStr">
        <is>
          <t>SUB-49</t>
        </is>
      </c>
      <c r="B53" s="8" t="inlineStr">
        <is>
          <t>Arquitectura moderna y habitar latinoamericano</t>
        </is>
      </c>
      <c r="C53" s="8" t="inlineStr">
        <is>
          <t>LIN-03</t>
        </is>
      </c>
      <c r="D53" s="8" t="inlineStr">
        <is>
          <t>EAA</t>
        </is>
      </c>
      <c r="E53" s="8" t="inlineStr">
        <is>
          <t>nueva</t>
        </is>
      </c>
    </row>
    <row r="54">
      <c r="A54" s="8" t="inlineStr">
        <is>
          <t>SUB-50</t>
        </is>
      </c>
      <c r="B54" s="8" t="inlineStr">
        <is>
          <t>Poesía y oficio</t>
        </is>
      </c>
      <c r="C54" s="8" t="inlineStr">
        <is>
          <t>LIN-03</t>
        </is>
      </c>
      <c r="D54" s="8" t="inlineStr">
        <is>
          <t>EAA</t>
        </is>
      </c>
      <c r="E54" s="8" t="inlineStr">
        <is>
          <t>nueva</t>
        </is>
      </c>
    </row>
    <row r="55">
      <c r="A55" s="8" t="inlineStr">
        <is>
          <t>SUB-51</t>
        </is>
      </c>
      <c r="B55" s="8" t="inlineStr">
        <is>
          <t>Fundamentos poéticos y artísticos del diseño</t>
        </is>
      </c>
      <c r="C55" s="8" t="inlineStr">
        <is>
          <t>LIN-03</t>
        </is>
      </c>
      <c r="D55" s="8" t="inlineStr">
        <is>
          <t>EAA</t>
        </is>
      </c>
      <c r="E55" s="8" t="inlineStr">
        <is>
          <t>nueva</t>
        </is>
      </c>
    </row>
    <row r="56">
      <c r="A56" s="8" t="inlineStr">
        <is>
          <t>SUB-52</t>
        </is>
      </c>
      <c r="B56" s="8" t="inlineStr">
        <is>
          <t>Reforma escolar y enseñanza de la arquitectura</t>
        </is>
      </c>
      <c r="C56" s="8" t="inlineStr">
        <is>
          <t>LIN-04</t>
        </is>
      </c>
      <c r="D56" s="8" t="inlineStr">
        <is>
          <t>EAA</t>
        </is>
      </c>
      <c r="E56" s="8" t="inlineStr">
        <is>
          <t>nueva</t>
        </is>
      </c>
    </row>
    <row r="57">
      <c r="A57" s="8" t="inlineStr">
        <is>
          <t>SUB-53</t>
        </is>
      </c>
      <c r="B57" s="8" t="inlineStr">
        <is>
          <t>Sistemas inteligentes e IA en diseño</t>
        </is>
      </c>
      <c r="C57" s="8" t="inlineStr">
        <is>
          <t>LIN-01</t>
        </is>
      </c>
      <c r="D57" s="8" t="inlineStr">
        <is>
          <t>FCT</t>
        </is>
      </c>
      <c r="E57" s="8" t="inlineStr">
        <is>
          <t>nueva — separa IA aplicada al diseño democrático/inclusivo de fabricación digital</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pane ySplit="4" topLeftCell="A5" activePane="bottomLeft" state="frozen"/>
      <selection pane="bottomLeft" activeCell="A1" sqref="A1"/>
    </sheetView>
  </sheetViews>
  <sheetFormatPr baseColWidth="8" defaultRowHeight="15"/>
  <cols>
    <col width="10" customWidth="1" min="1" max="1"/>
    <col width="50" customWidth="1" min="2" max="2"/>
    <col width="110" customWidth="1" min="3" max="3"/>
  </cols>
  <sheetData>
    <row r="1">
      <c r="A1" s="6" t="inlineStr">
        <is>
          <t>03 · Áreas del Postgrado</t>
        </is>
      </c>
    </row>
    <row r="2">
      <c r="A2" s="2" t="inlineStr">
        <is>
          <t>Eje ortogonal a las Líneas. Marcos amplios, no compartimentos.</t>
        </is>
      </c>
    </row>
    <row r="4">
      <c r="A4" s="7" t="inlineStr">
        <is>
          <t>código</t>
        </is>
      </c>
      <c r="B4" s="7" t="inlineStr">
        <is>
          <t>nombre</t>
        </is>
      </c>
      <c r="C4" s="7" t="inlineStr">
        <is>
          <t>descripción</t>
        </is>
      </c>
    </row>
    <row r="5">
      <c r="A5" s="8" t="inlineStr">
        <is>
          <t>ECH</t>
        </is>
      </c>
      <c r="B5" s="8" t="inlineStr">
        <is>
          <t>Extensión, Ciudad y Habitabilidad</t>
        </is>
      </c>
      <c r="C5" s="8" t="inlineStr">
        <is>
          <t>Marco amplio: ciudad, territorio, urbanización, infraestructura urbana, patrimonio territorial, borde costero, prácticas urbanas colectivas.</t>
        </is>
      </c>
    </row>
    <row r="6">
      <c r="A6" s="8" t="inlineStr">
        <is>
          <t>EAA</t>
        </is>
      </c>
      <c r="B6" s="8" t="inlineStr">
        <is>
          <t>Educación, Espacio y Aprendizaje</t>
        </is>
      </c>
      <c r="C6" s="8" t="inlineStr">
        <is>
          <t>Marco amplio: espacios educativos, pedagogía del diseño, arquitectura como medio didáctico, contextos vulnerables, historia y teoría como campo formativo, archivo y memoria.</t>
        </is>
      </c>
    </row>
    <row r="7">
      <c r="A7" s="8" t="inlineStr">
        <is>
          <t>FCT</t>
        </is>
      </c>
      <c r="B7" s="8" t="inlineStr">
        <is>
          <t>Forma, Cultura y Tecnología</t>
        </is>
      </c>
      <c r="C7" s="8" t="inlineStr">
        <is>
          <t>Marco amplio: diseño de interacción, servicios y UX, accesibilidad e inclusión, accesibilidad cognitiva, diseño social y territorial, oficio y artesanía, sistemas inteligentes, transferencia tecnológica.</t>
        </is>
      </c>
    </row>
  </sheetData>
  <mergeCells count="2">
    <mergeCell ref="A1:C1"/>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pane ySplit="2" topLeftCell="A3" activePane="bottomLeft" state="frozen"/>
      <selection pane="bottomLeft" activeCell="A1" sqref="A1"/>
    </sheetView>
  </sheetViews>
  <sheetFormatPr baseColWidth="8" defaultRowHeight="15"/>
  <cols>
    <col width="10" customWidth="1" min="1" max="1"/>
    <col width="30" customWidth="1" min="2" max="2"/>
    <col width="100" customWidth="1" min="3" max="3"/>
  </cols>
  <sheetData>
    <row r="1">
      <c r="A1" s="6" t="inlineStr">
        <is>
          <t>04 · Modos de investigar</t>
        </is>
      </c>
    </row>
    <row r="2">
      <c r="A2" s="7" t="inlineStr">
        <is>
          <t>id</t>
        </is>
      </c>
      <c r="B2" s="7" t="inlineStr">
        <is>
          <t>nombre</t>
        </is>
      </c>
      <c r="C2" s="7" t="inlineStr">
        <is>
          <t>descripción</t>
        </is>
      </c>
    </row>
    <row r="3">
      <c r="A3" s="8" t="inlineStr">
        <is>
          <t>MOD-01</t>
        </is>
      </c>
      <c r="B3" s="8" t="inlineStr">
        <is>
          <t>Historiografía</t>
        </is>
      </c>
      <c r="C3" s="8" t="inlineStr">
        <is>
          <t>Investigación basada en fuentes, archivo, biografía intelectual, genealogías de obra y acervo.</t>
        </is>
      </c>
    </row>
    <row r="4">
      <c r="A4" s="8" t="inlineStr">
        <is>
          <t>MOD-02</t>
        </is>
      </c>
      <c r="B4" s="8" t="inlineStr">
        <is>
          <t>Teoría crítica</t>
        </is>
      </c>
      <c r="C4" s="8" t="inlineStr">
        <is>
          <t>Producción conceptual, ensayo argumentativo, lectura crítica de prácticas y discursos.</t>
        </is>
      </c>
    </row>
    <row r="5">
      <c r="A5" s="8" t="inlineStr">
        <is>
          <t>MOD-03</t>
        </is>
      </c>
      <c r="B5" s="8" t="inlineStr">
        <is>
          <t>Investigación proyectual</t>
        </is>
      </c>
      <c r="C5" s="8" t="inlineStr">
        <is>
          <t>Investigación a través del proyecto: el proyecto-obra como dispositivo de generación de conocimiento.</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4" topLeftCell="A5" activePane="bottomLeft" state="frozen"/>
      <selection pane="bottomLeft" activeCell="A1" sqref="A1"/>
    </sheetView>
  </sheetViews>
  <sheetFormatPr baseColWidth="8" defaultRowHeight="15"/>
  <cols>
    <col width="10" customWidth="1" min="1" max="1"/>
    <col width="20" customWidth="1" min="2" max="2"/>
    <col width="100" customWidth="1" min="3" max="3"/>
  </cols>
  <sheetData>
    <row r="1">
      <c r="A1" s="6" t="inlineStr">
        <is>
          <t>05 · Salidas (canales de transferencia)</t>
        </is>
      </c>
    </row>
    <row r="2">
      <c r="A2" s="2" t="inlineStr">
        <is>
          <t>Los Laboratorios son la unidad operativa que activa las Salidas.</t>
        </is>
      </c>
    </row>
    <row r="4">
      <c r="A4" s="7" t="inlineStr">
        <is>
          <t>id</t>
        </is>
      </c>
      <c r="B4" s="7" t="inlineStr">
        <is>
          <t>nombre</t>
        </is>
      </c>
      <c r="C4" s="7" t="inlineStr">
        <is>
          <t>descripción</t>
        </is>
      </c>
    </row>
    <row r="5">
      <c r="A5" s="8" t="inlineStr">
        <is>
          <t>SAL-IND</t>
        </is>
      </c>
      <c r="B5" s="8" t="inlineStr">
        <is>
          <t>Industria</t>
        </is>
      </c>
      <c r="C5" s="8" t="inlineStr">
        <is>
          <t>Investigación aplicada, innovación y desarrollo tecnológico; transferencia al sector productivo.</t>
        </is>
      </c>
    </row>
    <row r="6">
      <c r="A6" s="8" t="inlineStr">
        <is>
          <t>SAL-ACA</t>
        </is>
      </c>
      <c r="B6" s="8" t="inlineStr">
        <is>
          <t>Academia</t>
        </is>
      </c>
      <c r="C6" s="8" t="inlineStr">
        <is>
          <t>Formación e investigación disciplinar, innovación docente, generación de conocimiento disciplinar.</t>
        </is>
      </c>
    </row>
    <row r="7">
      <c r="A7" s="8" t="inlineStr">
        <is>
          <t>SAL-EST</t>
        </is>
      </c>
      <c r="B7" s="8" t="inlineStr">
        <is>
          <t>Estado</t>
        </is>
      </c>
      <c r="C7" s="8" t="inlineStr">
        <is>
          <t>Asuntos y políticas públicas; vínculo con instituciones del Estado.</t>
        </is>
      </c>
    </row>
  </sheetData>
  <mergeCells count="2">
    <mergeCell ref="A1:C1"/>
    <mergeCell ref="A2:C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12" customWidth="1" min="1" max="1"/>
    <col width="38" customWidth="1" min="2" max="2"/>
    <col width="100" customWidth="1" min="3" max="3"/>
  </cols>
  <sheetData>
    <row r="1">
      <c r="A1" s="6" t="inlineStr">
        <is>
          <t>06 · Laboratorios (grupos asociativos, nombres tentativos)</t>
        </is>
      </c>
    </row>
    <row r="2">
      <c r="A2" s="7" t="inlineStr">
        <is>
          <t>id</t>
        </is>
      </c>
      <c r="B2" s="7" t="inlineStr">
        <is>
          <t>nombre</t>
        </is>
      </c>
      <c r="C2" s="7" t="inlineStr">
        <is>
          <t>descripción</t>
        </is>
      </c>
    </row>
    <row r="3">
      <c r="A3" s="8" t="inlineStr">
        <is>
          <t>LAB-NAI</t>
        </is>
      </c>
      <c r="B3" s="8" t="inlineStr">
        <is>
          <t>Núcleo de Accesibilidad e Inclusión</t>
        </is>
      </c>
      <c r="C3" s="8" t="inlineStr">
        <is>
          <t>Accesibilidad cognitiva, codiseño, comunicación aumentativa/alternativa, vida independiente, participación inclusiva.</t>
        </is>
      </c>
    </row>
    <row r="4">
      <c r="A4" s="8" t="inlineStr">
        <is>
          <t>LAB-AFL</t>
        </is>
      </c>
      <c r="B4" s="8" t="inlineStr">
        <is>
          <t>Aconcagua Fablab</t>
        </is>
      </c>
      <c r="C4" s="8" t="inlineStr">
        <is>
          <t>Fabricación digital, modelado paramétrico, transferencia tecnológica distribuida, sistemas inteligentes, hacer-crear.</t>
        </is>
      </c>
    </row>
    <row r="5">
      <c r="A5" s="8" t="inlineStr">
        <is>
          <t>LAB-PYT</t>
        </is>
      </c>
      <c r="B5" s="8" t="inlineStr">
        <is>
          <t>Personas y territorios</t>
        </is>
      </c>
      <c r="C5" s="8" t="inlineStr">
        <is>
          <t>Ciudad, territorio, urbanización, patrimonio territorial y comunidades; intersección persona–lugar.</t>
        </is>
      </c>
    </row>
    <row r="6">
      <c r="A6" s="8" t="inlineStr">
        <is>
          <t>LAB-PMD</t>
        </is>
      </c>
      <c r="B6" s="8" t="inlineStr">
        <is>
          <t>Patrimonio moderno</t>
        </is>
      </c>
      <c r="C6" s="8" t="inlineStr">
        <is>
          <t>Historia y crítica de la arquitectura moderna, acervo de la e[ad] y Ciudad Abierta, archivo y memoria material.</t>
        </is>
      </c>
    </row>
    <row r="7">
      <c r="A7" s="8" t="inlineStr">
        <is>
          <t>LAB-UAF</t>
        </is>
      </c>
      <c r="B7" s="8" t="inlineStr">
        <is>
          <t>Urbanismo afectivo</t>
        </is>
      </c>
      <c r="C7" s="8" t="inlineStr">
        <is>
          <t>Deriva, prácticas urbanas colectivas, cooperativismo, reuso del patrimonio en abandono, investigación-acción.</t>
        </is>
      </c>
    </row>
  </sheetData>
  <mergeCells count="1">
    <mergeCell ref="A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6"/>
  <sheetViews>
    <sheetView workbookViewId="0">
      <pane ySplit="4" topLeftCell="A5" activePane="bottomLeft" state="frozen"/>
      <selection pane="bottomLeft" activeCell="A1" sqref="A1"/>
    </sheetView>
  </sheetViews>
  <sheetFormatPr baseColWidth="8" defaultRowHeight="15"/>
  <cols>
    <col width="10" customWidth="1" min="1" max="1"/>
    <col width="28" customWidth="1" min="2" max="2"/>
    <col width="14" customWidth="1" min="3" max="3"/>
    <col width="60" customWidth="1" min="4" max="4"/>
    <col width="38" customWidth="1" min="5" max="5"/>
  </cols>
  <sheetData>
    <row r="1">
      <c r="A1" s="6" t="inlineStr">
        <is>
          <t>07 · Investigadores (cuerpo académico EAD-PUCV)</t>
        </is>
      </c>
    </row>
    <row r="2">
      <c r="A2" s="2" t="inlineStr">
        <is>
          <t>Área principal es lectura — un investigador puede operar en varias. Profundización en 12_Investigador_Lab y 13_Investigador_Modo.</t>
        </is>
      </c>
    </row>
    <row r="4">
      <c r="A4" s="7" t="inlineStr">
        <is>
          <t>id</t>
        </is>
      </c>
      <c r="B4" s="7" t="inlineStr">
        <is>
          <t>nombre</t>
        </is>
      </c>
      <c r="C4" s="7" t="inlineStr">
        <is>
          <t>área_principal</t>
        </is>
      </c>
      <c r="D4" s="7" t="inlineStr">
        <is>
          <t>perfil_casiopea</t>
        </is>
      </c>
      <c r="E4" s="7" t="inlineStr">
        <is>
          <t>estado_perfil</t>
        </is>
      </c>
    </row>
    <row r="5">
      <c r="A5" s="8" t="inlineStr">
        <is>
          <t>INV-01</t>
        </is>
      </c>
      <c r="B5" s="8" t="inlineStr">
        <is>
          <t>Ursula Exss</t>
        </is>
      </c>
      <c r="C5" s="8" t="inlineStr">
        <is>
          <t>EAA</t>
        </is>
      </c>
      <c r="D5" s="8" t="inlineStr">
        <is>
          <t>https://wiki.ead.pucv.cl/Ursula_Exss</t>
        </is>
      </c>
      <c r="E5" s="8" t="inlineStr">
        <is>
          <t>consolidado Casiopea + ANID</t>
        </is>
      </c>
    </row>
    <row r="6">
      <c r="A6" s="8" t="inlineStr">
        <is>
          <t>INV-02</t>
        </is>
      </c>
      <c r="B6" s="8" t="inlineStr">
        <is>
          <t>Katherine Exss</t>
        </is>
      </c>
      <c r="C6" s="8" t="inlineStr">
        <is>
          <t>FCT</t>
        </is>
      </c>
      <c r="D6" s="8" t="inlineStr">
        <is>
          <t>https://wiki.ead.pucv.cl/Katherine_Exss</t>
        </is>
      </c>
      <c r="E6" s="8" t="inlineStr">
        <is>
          <t>consolidado Casiopea + ANID</t>
        </is>
      </c>
    </row>
    <row r="7">
      <c r="A7" s="8" t="inlineStr">
        <is>
          <t>INV-03</t>
        </is>
      </c>
      <c r="B7" s="8" t="inlineStr">
        <is>
          <t>Jorge Ferrada</t>
        </is>
      </c>
      <c r="C7" s="8" t="inlineStr">
        <is>
          <t>ECH</t>
        </is>
      </c>
      <c r="D7" s="8" t="inlineStr">
        <is>
          <t>https://wiki.ead.pucv.cl/Jorge_Ferrada</t>
        </is>
      </c>
      <c r="E7" s="8" t="inlineStr">
        <is>
          <t>bio + cursos + proyectos + tesis</t>
        </is>
      </c>
    </row>
    <row r="8">
      <c r="A8" s="8" t="inlineStr">
        <is>
          <t>INV-04</t>
        </is>
      </c>
      <c r="B8" s="8" t="inlineStr">
        <is>
          <t>Andrés Garcés</t>
        </is>
      </c>
      <c r="C8" s="8" t="inlineStr">
        <is>
          <t>ECH</t>
        </is>
      </c>
      <c r="D8" s="8" t="inlineStr">
        <is>
          <t>https://wiki.ead.pucv.cl/Andr%C3%A9s_Garc%C3%A9s</t>
        </is>
      </c>
      <c r="E8" s="8" t="inlineStr">
        <is>
          <t>línea explícita</t>
        </is>
      </c>
    </row>
    <row r="9">
      <c r="A9" s="8" t="inlineStr">
        <is>
          <t>INV-05</t>
        </is>
      </c>
      <c r="B9" s="8" t="inlineStr">
        <is>
          <t>Iván Ivelic</t>
        </is>
      </c>
      <c r="C9" s="8" t="inlineStr">
        <is>
          <t>ECH</t>
        </is>
      </c>
      <c r="D9" s="8" t="inlineStr">
        <is>
          <t>https://wiki.ead.pucv.cl/Iv%C3%A1n_Ivelic</t>
        </is>
      </c>
      <c r="E9" s="8" t="inlineStr">
        <is>
          <t>línea explícita + lectura detallada</t>
        </is>
      </c>
    </row>
    <row r="10">
      <c r="A10" s="8" t="inlineStr">
        <is>
          <t>INV-06</t>
        </is>
      </c>
      <c r="B10" s="8" t="inlineStr">
        <is>
          <t>David Luza</t>
        </is>
      </c>
      <c r="C10" s="8" t="inlineStr">
        <is>
          <t>ECH</t>
        </is>
      </c>
      <c r="D10" s="8" t="inlineStr">
        <is>
          <t>https://wiki.ead.pucv.cl/David_Luza</t>
        </is>
      </c>
      <c r="E10" s="8" t="inlineStr">
        <is>
          <t>consolidado Casiopea + ANID</t>
        </is>
      </c>
    </row>
    <row r="11">
      <c r="A11" s="8" t="inlineStr">
        <is>
          <t>INV-07</t>
        </is>
      </c>
      <c r="B11" s="8" t="inlineStr">
        <is>
          <t>Adriana Marín</t>
        </is>
      </c>
      <c r="C11" s="8" t="inlineStr">
        <is>
          <t>ECH</t>
        </is>
      </c>
      <c r="D11" s="8" t="inlineStr">
        <is>
          <t>https://wiki.ead.pucv.cl/Adriana_Mar%C3%ADn</t>
        </is>
      </c>
      <c r="E11" s="8" t="inlineStr">
        <is>
          <t>líneas explícitas</t>
        </is>
      </c>
    </row>
    <row r="12">
      <c r="A12" s="8" t="inlineStr">
        <is>
          <t>INV-08</t>
        </is>
      </c>
      <c r="B12" s="8" t="inlineStr">
        <is>
          <t>Álvaro Mercado</t>
        </is>
      </c>
      <c r="C12" s="8" t="inlineStr">
        <is>
          <t>ECH</t>
        </is>
      </c>
      <c r="D12" s="8" t="inlineStr">
        <is>
          <t>https://wiki.ead.pucv.cl/%C3%81lvaro_Mercado</t>
        </is>
      </c>
      <c r="E12" s="8" t="inlineStr">
        <is>
          <t>líneas explícitas</t>
        </is>
      </c>
    </row>
    <row r="13">
      <c r="A13" s="8" t="inlineStr">
        <is>
          <t>INV-09</t>
        </is>
      </c>
      <c r="B13" s="8" t="inlineStr">
        <is>
          <t>Jaime Reyes</t>
        </is>
      </c>
      <c r="C13" s="8" t="inlineStr">
        <is>
          <t>EAA</t>
        </is>
      </c>
      <c r="D13" s="8" t="inlineStr">
        <is>
          <t>https://wiki.ead.pucv.cl/Jaime_Reyes</t>
        </is>
      </c>
      <c r="E13" s="8" t="inlineStr">
        <is>
          <t>tema/área explícita</t>
        </is>
      </c>
    </row>
    <row r="14">
      <c r="A14" s="8" t="inlineStr">
        <is>
          <t>INV-10</t>
        </is>
      </c>
      <c r="B14" s="8" t="inlineStr">
        <is>
          <t>Rodrigo Saavedra</t>
        </is>
      </c>
      <c r="C14" s="8" t="inlineStr">
        <is>
          <t>EAA</t>
        </is>
      </c>
      <c r="D14" s="8" t="inlineStr">
        <is>
          <t>https://wiki.ead.pucv.cl/Rodrigo_Saavedra</t>
        </is>
      </c>
      <c r="E14" s="8" t="inlineStr">
        <is>
          <t>líneas explícitas</t>
        </is>
      </c>
    </row>
    <row r="15">
      <c r="A15" s="8" t="inlineStr">
        <is>
          <t>INV-11</t>
        </is>
      </c>
      <c r="B15" s="8" t="inlineStr">
        <is>
          <t>Daniela Salgado</t>
        </is>
      </c>
      <c r="C15" s="8" t="inlineStr">
        <is>
          <t>FCT</t>
        </is>
      </c>
      <c r="D15" s="8" t="inlineStr">
        <is>
          <t>https://wiki.ead.pucv.cl/Daniela_Salgado</t>
        </is>
      </c>
      <c r="E15" s="8" t="inlineStr">
        <is>
          <t>líneas explícitas</t>
        </is>
      </c>
    </row>
    <row r="16">
      <c r="A16" s="8" t="inlineStr">
        <is>
          <t>INV-12</t>
        </is>
      </c>
      <c r="B16" s="8" t="inlineStr">
        <is>
          <t>Herbert Spencer</t>
        </is>
      </c>
      <c r="C16" s="8" t="inlineStr">
        <is>
          <t>FCT</t>
        </is>
      </c>
      <c r="D16" s="8" t="inlineStr">
        <is>
          <t>https://wiki.ead.pucv.cl/Herbert_Spencer</t>
        </is>
      </c>
      <c r="E16" s="8" t="inlineStr">
        <is>
          <t>líneas explícitas</t>
        </is>
      </c>
    </row>
    <row r="17">
      <c r="A17" s="8" t="inlineStr">
        <is>
          <t>INV-13</t>
        </is>
      </c>
      <c r="B17" s="8" t="inlineStr">
        <is>
          <t>Alfred Thiers</t>
        </is>
      </c>
      <c r="C17" s="8" t="inlineStr">
        <is>
          <t>ECH</t>
        </is>
      </c>
      <c r="D17" s="8" t="inlineStr">
        <is>
          <t>https://wiki.ead.pucv.cl/Alfred_Thiers</t>
        </is>
      </c>
      <c r="E17" s="8" t="inlineStr">
        <is>
          <t>líneas explícitas</t>
        </is>
      </c>
    </row>
    <row r="18">
      <c r="A18" s="8" t="inlineStr">
        <is>
          <t>INV-14</t>
        </is>
      </c>
      <c r="B18" s="8" t="inlineStr">
        <is>
          <t>Lorena Herrera</t>
        </is>
      </c>
      <c r="C18" s="8" t="inlineStr">
        <is>
          <t>ECH</t>
        </is>
      </c>
      <c r="D18" s="8" t="inlineStr">
        <is>
          <t>https://wiki.ead.pucv.cl/Lorena_Herrera</t>
        </is>
      </c>
      <c r="E18" s="8" t="inlineStr">
        <is>
          <t>ANID</t>
        </is>
      </c>
    </row>
    <row r="19">
      <c r="A19" s="8" t="inlineStr">
        <is>
          <t>INV-15</t>
        </is>
      </c>
      <c r="B19" s="8" t="inlineStr">
        <is>
          <t>Juan Carlos Jeldes</t>
        </is>
      </c>
      <c r="C19" s="8" t="inlineStr">
        <is>
          <t>FCT</t>
        </is>
      </c>
      <c r="D19" s="8" t="inlineStr">
        <is>
          <t>https://wiki.ead.pucv.cl/Juan_Carlos_Jeldes</t>
        </is>
      </c>
      <c r="E19" s="8" t="inlineStr">
        <is>
          <t>lectura detallada de perfil</t>
        </is>
      </c>
    </row>
    <row r="20">
      <c r="A20" s="8" t="inlineStr">
        <is>
          <t>INV-16</t>
        </is>
      </c>
      <c r="B20" s="8" t="inlineStr">
        <is>
          <t>Michèle Wilkomirsky</t>
        </is>
      </c>
      <c r="C20" s="8" t="inlineStr">
        <is>
          <t>EAA</t>
        </is>
      </c>
      <c r="D20" s="8" t="inlineStr">
        <is>
          <t>https://wiki.ead.pucv.cl/Mich%C3%A8le_Wilkomirsky</t>
        </is>
      </c>
      <c r="E20" s="8" t="inlineStr">
        <is>
          <t>ANID</t>
        </is>
      </c>
    </row>
    <row r="21">
      <c r="A21" s="8" t="inlineStr">
        <is>
          <t>INV-17</t>
        </is>
      </c>
      <c r="B21" s="8" t="inlineStr">
        <is>
          <t>Óscar Andrade</t>
        </is>
      </c>
      <c r="C21" s="8" t="inlineStr">
        <is>
          <t>EAA</t>
        </is>
      </c>
      <c r="D21" s="8" t="inlineStr">
        <is>
          <t>https://wiki.ead.pucv.cl/%C3%93scar_Andrade</t>
        </is>
      </c>
      <c r="E21" s="8" t="inlineStr">
        <is>
          <t>ANID</t>
        </is>
      </c>
    </row>
    <row r="22">
      <c r="A22" s="8" t="inlineStr">
        <is>
          <t>INV-18</t>
        </is>
      </c>
      <c r="B22" s="8" t="inlineStr">
        <is>
          <t>Anna Braghini</t>
        </is>
      </c>
      <c r="C22" s="8" t="inlineStr">
        <is>
          <t>EAA</t>
        </is>
      </c>
      <c r="D22" s="8" t="inlineStr">
        <is>
          <t>https://wiki.ead.pucv.cl/Anna_Braghini</t>
        </is>
      </c>
      <c r="E22" s="8" t="inlineStr">
        <is>
          <t>deducción razonable</t>
        </is>
      </c>
    </row>
    <row r="23">
      <c r="A23" s="8" t="inlineStr">
        <is>
          <t>INV-19</t>
        </is>
      </c>
      <c r="B23" s="8" t="inlineStr">
        <is>
          <t>Arturo Chicano</t>
        </is>
      </c>
      <c r="C23" s="8" t="inlineStr">
        <is>
          <t>FCT</t>
        </is>
      </c>
      <c r="D23" s="8" t="inlineStr">
        <is>
          <t>https://wiki.ead.pucv.cl/Arturo_Chicano</t>
        </is>
      </c>
      <c r="E23" s="8" t="inlineStr">
        <is>
          <t>lectura detallada de perfil</t>
        </is>
      </c>
    </row>
    <row r="24">
      <c r="A24" s="8" t="inlineStr">
        <is>
          <t>INV-20</t>
        </is>
      </c>
      <c r="B24" s="8" t="inlineStr">
        <is>
          <t>Sylvia Arriagada</t>
        </is>
      </c>
      <c r="C24" s="8" t="inlineStr">
        <is>
          <t>FCT</t>
        </is>
      </c>
      <c r="D24" s="8" t="inlineStr">
        <is>
          <t>https://wiki.ead.pucv.cl/Sylvia_Arriagada</t>
        </is>
      </c>
      <c r="E24" s="8" t="inlineStr">
        <is>
          <t>línea explícita + lectura detallada</t>
        </is>
      </c>
    </row>
    <row r="25">
      <c r="A25" s="8" t="inlineStr">
        <is>
          <t>INV-21</t>
        </is>
      </c>
      <c r="B25" s="8" t="inlineStr">
        <is>
          <t>Marcelo Araya</t>
        </is>
      </c>
      <c r="C25" s="8" t="inlineStr">
        <is>
          <t>FCT</t>
        </is>
      </c>
      <c r="D25" s="8" t="inlineStr">
        <is>
          <t>https://wiki.ead.pucv.cl/Marcelo_Araya</t>
        </is>
      </c>
      <c r="E25" s="8" t="inlineStr">
        <is>
          <t>deducción fundada</t>
        </is>
      </c>
    </row>
    <row r="26">
      <c r="A26" s="8" t="inlineStr">
        <is>
          <t>INV-22</t>
        </is>
      </c>
      <c r="B26" s="8" t="inlineStr">
        <is>
          <t>Emanuela Di Felice</t>
        </is>
      </c>
      <c r="C26" s="8" t="inlineStr">
        <is>
          <t>ECH</t>
        </is>
      </c>
      <c r="D26" s="8" t="inlineStr">
        <is>
          <t>https://wiki.ead.pucv.cl/Emanuela_Di_Felice</t>
        </is>
      </c>
      <c r="E26" s="8" t="inlineStr">
        <is>
          <t>consolidado por lectura detallada</t>
        </is>
      </c>
    </row>
  </sheetData>
  <mergeCells count="2">
    <mergeCell ref="A2:E2"/>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44"/>
  <sheetViews>
    <sheetView workbookViewId="0">
      <pane ySplit="4" topLeftCell="A5" activePane="bottomLeft" state="frozen"/>
      <selection pane="bottomLeft" activeCell="A1" sqref="A1"/>
    </sheetView>
  </sheetViews>
  <sheetFormatPr baseColWidth="8" defaultRowHeight="15"/>
  <cols>
    <col width="10" customWidth="1" min="1" max="1"/>
    <col width="14" customWidth="1" min="2" max="2"/>
    <col width="100" customWidth="1" min="3" max="3"/>
  </cols>
  <sheetData>
    <row r="1">
      <c r="A1" s="6" t="inlineStr">
        <is>
          <t>08 · Temas declarados (Casiopea + ANID)</t>
        </is>
      </c>
    </row>
    <row r="2">
      <c r="A2" s="2" t="inlineStr">
        <is>
          <t>Cada Tema pertenece a UN Investigador. Las relaciones a Sublíneas viven en 09_Sublinea_Tema (m:n).</t>
        </is>
      </c>
    </row>
    <row r="4">
      <c r="A4" s="7" t="inlineStr">
        <is>
          <t>id</t>
        </is>
      </c>
      <c r="B4" s="7" t="inlineStr">
        <is>
          <t>investigador_id</t>
        </is>
      </c>
      <c r="C4" s="7" t="inlineStr">
        <is>
          <t>tema</t>
        </is>
      </c>
    </row>
    <row r="5">
      <c r="A5" s="8" t="inlineStr">
        <is>
          <t>TEM-001</t>
        </is>
      </c>
      <c r="B5" s="8" t="inlineStr">
        <is>
          <t>INV-01</t>
        </is>
      </c>
      <c r="C5" s="8" t="inlineStr">
        <is>
          <t>Espacios educativos</t>
        </is>
      </c>
    </row>
    <row r="6">
      <c r="A6" s="8" t="inlineStr">
        <is>
          <t>TEM-002</t>
        </is>
      </c>
      <c r="B6" s="8" t="inlineStr">
        <is>
          <t>INV-01</t>
        </is>
      </c>
      <c r="C6" s="8" t="inlineStr">
        <is>
          <t>Arquitectura escolar</t>
        </is>
      </c>
    </row>
    <row r="7">
      <c r="A7" s="8" t="inlineStr">
        <is>
          <t>TEM-003</t>
        </is>
      </c>
      <c r="B7" s="8" t="inlineStr">
        <is>
          <t>INV-01</t>
        </is>
      </c>
      <c r="C7" s="8" t="inlineStr">
        <is>
          <t>Relación entre arquitectura y aprendizaje</t>
        </is>
      </c>
    </row>
    <row r="8">
      <c r="A8" s="8" t="inlineStr">
        <is>
          <t>TEM-004</t>
        </is>
      </c>
      <c r="B8" s="8" t="inlineStr">
        <is>
          <t>INV-01</t>
        </is>
      </c>
      <c r="C8" s="8" t="inlineStr">
        <is>
          <t>Reforma escolar de 1965 en Chile</t>
        </is>
      </c>
    </row>
    <row r="9">
      <c r="A9" s="8" t="inlineStr">
        <is>
          <t>TEM-005</t>
        </is>
      </c>
      <c r="B9" s="8" t="inlineStr">
        <is>
          <t>INV-01</t>
        </is>
      </c>
      <c r="C9" s="8" t="inlineStr">
        <is>
          <t>Teoría de la arquitectura</t>
        </is>
      </c>
    </row>
    <row r="10">
      <c r="A10" s="8" t="inlineStr">
        <is>
          <t>TEM-006</t>
        </is>
      </c>
      <c r="B10" s="8" t="inlineStr">
        <is>
          <t>INV-01</t>
        </is>
      </c>
      <c r="C10" s="8" t="inlineStr">
        <is>
          <t>Diseño arquitectónico</t>
        </is>
      </c>
    </row>
    <row r="11">
      <c r="A11" s="8" t="inlineStr">
        <is>
          <t>TEM-007</t>
        </is>
      </c>
      <c r="B11" s="8" t="inlineStr">
        <is>
          <t>INV-01</t>
        </is>
      </c>
      <c r="C11" s="8" t="inlineStr">
        <is>
          <t>Diseño de espacios educativos</t>
        </is>
      </c>
    </row>
    <row r="12">
      <c r="A12" s="8" t="inlineStr">
        <is>
          <t>TEM-008</t>
        </is>
      </c>
      <c r="B12" s="8" t="inlineStr">
        <is>
          <t>INV-02</t>
        </is>
      </c>
      <c r="C12" s="8" t="inlineStr">
        <is>
          <t>Diseño de interacción y experiencia de usuarios</t>
        </is>
      </c>
    </row>
    <row r="13">
      <c r="A13" s="8" t="inlineStr">
        <is>
          <t>TEM-009</t>
        </is>
      </c>
      <c r="B13" s="8" t="inlineStr">
        <is>
          <t>INV-02</t>
        </is>
      </c>
      <c r="C13" s="8" t="inlineStr">
        <is>
          <t>Metodologías y métodos de diseño</t>
        </is>
      </c>
    </row>
    <row r="14">
      <c r="A14" s="8" t="inlineStr">
        <is>
          <t>TEM-010</t>
        </is>
      </c>
      <c r="B14" s="8" t="inlineStr">
        <is>
          <t>INV-02</t>
        </is>
      </c>
      <c r="C14" s="8" t="inlineStr">
        <is>
          <t>Accesibilidad e inclusión</t>
        </is>
      </c>
    </row>
    <row r="15">
      <c r="A15" s="8" t="inlineStr">
        <is>
          <t>TEM-011</t>
        </is>
      </c>
      <c r="B15" s="8" t="inlineStr">
        <is>
          <t>INV-02</t>
        </is>
      </c>
      <c r="C15" s="8" t="inlineStr">
        <is>
          <t>Confort térmico y bienestar</t>
        </is>
      </c>
    </row>
    <row r="16">
      <c r="A16" s="8" t="inlineStr">
        <is>
          <t>TEM-012</t>
        </is>
      </c>
      <c r="B16" s="8" t="inlineStr">
        <is>
          <t>INV-02</t>
        </is>
      </c>
      <c r="C16" s="8" t="inlineStr">
        <is>
          <t>Accesibilidad cognitiva</t>
        </is>
      </c>
    </row>
    <row r="17">
      <c r="A17" s="8" t="inlineStr">
        <is>
          <t>TEM-013</t>
        </is>
      </c>
      <c r="B17" s="8" t="inlineStr">
        <is>
          <t>INV-02</t>
        </is>
      </c>
      <c r="C17" s="8" t="inlineStr">
        <is>
          <t>Investigación inclusiva</t>
        </is>
      </c>
    </row>
    <row r="18">
      <c r="A18" s="8" t="inlineStr">
        <is>
          <t>TEM-014</t>
        </is>
      </c>
      <c r="B18" s="8" t="inlineStr">
        <is>
          <t>INV-03</t>
        </is>
      </c>
      <c r="C18" s="8" t="inlineStr">
        <is>
          <t>Patrimonio arquitectónico y territorial</t>
        </is>
      </c>
    </row>
    <row r="19">
      <c r="A19" s="8" t="inlineStr">
        <is>
          <t>TEM-015</t>
        </is>
      </c>
      <c r="B19" s="8" t="inlineStr">
        <is>
          <t>INV-03</t>
        </is>
      </c>
      <c r="C19" s="8" t="inlineStr">
        <is>
          <t>Borde costero y ciudad-puerto</t>
        </is>
      </c>
    </row>
    <row r="20">
      <c r="A20" s="8" t="inlineStr">
        <is>
          <t>TEM-016</t>
        </is>
      </c>
      <c r="B20" s="8" t="inlineStr">
        <is>
          <t>INV-03</t>
        </is>
      </c>
      <c r="C20" s="8" t="inlineStr">
        <is>
          <t>Movilidad y orden urbano en Valparaíso</t>
        </is>
      </c>
    </row>
    <row r="21">
      <c r="A21" s="8" t="inlineStr">
        <is>
          <t>TEM-017</t>
        </is>
      </c>
      <c r="B21" s="8" t="inlineStr">
        <is>
          <t>INV-03</t>
        </is>
      </c>
      <c r="C21" s="8" t="inlineStr">
        <is>
          <t>Rehabilitación patrimonial</t>
        </is>
      </c>
    </row>
    <row r="22">
      <c r="A22" s="8" t="inlineStr">
        <is>
          <t>TEM-018</t>
        </is>
      </c>
      <c r="B22" s="8" t="inlineStr">
        <is>
          <t>INV-03</t>
        </is>
      </c>
      <c r="C22" s="8" t="inlineStr">
        <is>
          <t>Muros de contención como estructura urbana</t>
        </is>
      </c>
    </row>
    <row r="23">
      <c r="A23" s="8" t="inlineStr">
        <is>
          <t>TEM-019</t>
        </is>
      </c>
      <c r="B23" s="8" t="inlineStr">
        <is>
          <t>INV-03</t>
        </is>
      </c>
      <c r="C23" s="8" t="inlineStr">
        <is>
          <t>Frentes marítimos y ribereños</t>
        </is>
      </c>
    </row>
    <row r="24">
      <c r="A24" s="8" t="inlineStr">
        <is>
          <t>TEM-020</t>
        </is>
      </c>
      <c r="B24" s="8" t="inlineStr">
        <is>
          <t>INV-03</t>
        </is>
      </c>
      <c r="C24" s="8" t="inlineStr">
        <is>
          <t>Territorio marítimo y portuario</t>
        </is>
      </c>
    </row>
    <row r="25">
      <c r="A25" s="8" t="inlineStr">
        <is>
          <t>TEM-021</t>
        </is>
      </c>
      <c r="B25" s="8" t="inlineStr">
        <is>
          <t>INV-04</t>
        </is>
      </c>
      <c r="C25" s="8" t="inlineStr">
        <is>
          <t>Ciudad-teatro</t>
        </is>
      </c>
    </row>
    <row r="26">
      <c r="A26" s="8" t="inlineStr">
        <is>
          <t>TEM-022</t>
        </is>
      </c>
      <c r="B26" s="8" t="inlineStr">
        <is>
          <t>INV-04</t>
        </is>
      </c>
      <c r="C26" s="8" t="inlineStr">
        <is>
          <t>Cultura y ciudad</t>
        </is>
      </c>
    </row>
    <row r="27">
      <c r="A27" s="8" t="inlineStr">
        <is>
          <t>TEM-023</t>
        </is>
      </c>
      <c r="B27" s="8" t="inlineStr">
        <is>
          <t>INV-04</t>
        </is>
      </c>
      <c r="C27" s="8" t="inlineStr">
        <is>
          <t>Fenómenos sociales informales</t>
        </is>
      </c>
    </row>
    <row r="28">
      <c r="A28" s="8" t="inlineStr">
        <is>
          <t>TEM-024</t>
        </is>
      </c>
      <c r="B28" s="8" t="inlineStr">
        <is>
          <t>INV-04</t>
        </is>
      </c>
      <c r="C28" s="8" t="inlineStr">
        <is>
          <t>Espacio y forma arquitectónica</t>
        </is>
      </c>
    </row>
    <row r="29">
      <c r="A29" s="8" t="inlineStr">
        <is>
          <t>TEM-025</t>
        </is>
      </c>
      <c r="B29" s="8" t="inlineStr">
        <is>
          <t>INV-04</t>
        </is>
      </c>
      <c r="C29" s="8" t="inlineStr">
        <is>
          <t>Apropiación del espacio público como acto escénico</t>
        </is>
      </c>
    </row>
    <row r="30">
      <c r="A30" s="8" t="inlineStr">
        <is>
          <t>TEM-026</t>
        </is>
      </c>
      <c r="B30" s="8" t="inlineStr">
        <is>
          <t>INV-05</t>
        </is>
      </c>
      <c r="C30" s="8" t="inlineStr">
        <is>
          <t>Áreas naturales protegidas</t>
        </is>
      </c>
    </row>
    <row r="31">
      <c r="A31" s="8" t="inlineStr">
        <is>
          <t>TEM-027</t>
        </is>
      </c>
      <c r="B31" s="8" t="inlineStr">
        <is>
          <t>INV-05</t>
        </is>
      </c>
      <c r="C31" s="8" t="inlineStr">
        <is>
          <t>Relación artificio y naturaleza</t>
        </is>
      </c>
    </row>
    <row r="32">
      <c r="A32" s="8" t="inlineStr">
        <is>
          <t>TEM-028</t>
        </is>
      </c>
      <c r="B32" s="8" t="inlineStr">
        <is>
          <t>INV-05</t>
        </is>
      </c>
      <c r="C32" s="8" t="inlineStr">
        <is>
          <t>Equipamientos de interpretación, educación y servicios</t>
        </is>
      </c>
    </row>
    <row r="33">
      <c r="A33" s="8" t="inlineStr">
        <is>
          <t>TEM-029</t>
        </is>
      </c>
      <c r="B33" s="8" t="inlineStr">
        <is>
          <t>INV-05</t>
        </is>
      </c>
      <c r="C33" s="8" t="inlineStr">
        <is>
          <t>Áreas urbanas</t>
        </is>
      </c>
    </row>
    <row r="34">
      <c r="A34" s="8" t="inlineStr">
        <is>
          <t>TEM-030</t>
        </is>
      </c>
      <c r="B34" s="8" t="inlineStr">
        <is>
          <t>INV-05</t>
        </is>
      </c>
      <c r="C34" s="8" t="inlineStr">
        <is>
          <t>Equipamiento cultural</t>
        </is>
      </c>
    </row>
    <row r="35">
      <c r="A35" s="8" t="inlineStr">
        <is>
          <t>TEM-031</t>
        </is>
      </c>
      <c r="B35" s="8" t="inlineStr">
        <is>
          <t>INV-05</t>
        </is>
      </c>
      <c r="C35" s="8" t="inlineStr">
        <is>
          <t>Patrimonio natural y cultural</t>
        </is>
      </c>
    </row>
    <row r="36">
      <c r="A36" s="8" t="inlineStr">
        <is>
          <t>TEM-032</t>
        </is>
      </c>
      <c r="B36" s="8" t="inlineStr">
        <is>
          <t>INV-05</t>
        </is>
      </c>
      <c r="C36" s="8" t="inlineStr">
        <is>
          <t>Sustentabilidad del patrimonio</t>
        </is>
      </c>
    </row>
    <row r="37">
      <c r="A37" s="8" t="inlineStr">
        <is>
          <t>TEM-033</t>
        </is>
      </c>
      <c r="B37" s="8" t="inlineStr">
        <is>
          <t>INV-05</t>
        </is>
      </c>
      <c r="C37" s="8" t="inlineStr">
        <is>
          <t>Arquitectura como interfaz entre habitante y naturaleza</t>
        </is>
      </c>
    </row>
    <row r="38">
      <c r="A38" s="8" t="inlineStr">
        <is>
          <t>TEM-034</t>
        </is>
      </c>
      <c r="B38" s="8" t="inlineStr">
        <is>
          <t>INV-05</t>
        </is>
      </c>
      <c r="C38" s="8" t="inlineStr">
        <is>
          <t>Creación colectiva y experimentación arquitectónica</t>
        </is>
      </c>
    </row>
    <row r="39">
      <c r="A39" s="8" t="inlineStr">
        <is>
          <t>TEM-035</t>
        </is>
      </c>
      <c r="B39" s="8" t="inlineStr">
        <is>
          <t>INV-05</t>
        </is>
      </c>
      <c r="C39" s="8" t="inlineStr">
        <is>
          <t>Proyecto y obra como generación de conocimiento</t>
        </is>
      </c>
    </row>
    <row r="40">
      <c r="A40" s="8" t="inlineStr">
        <is>
          <t>TEM-036</t>
        </is>
      </c>
      <c r="B40" s="8" t="inlineStr">
        <is>
          <t>INV-06</t>
        </is>
      </c>
      <c r="C40" s="8" t="inlineStr">
        <is>
          <t>Habitabilidad en infraestructura urbana</t>
        </is>
      </c>
    </row>
    <row r="41">
      <c r="A41" s="8" t="inlineStr">
        <is>
          <t>TEM-037</t>
        </is>
      </c>
      <c r="B41" s="8" t="inlineStr">
        <is>
          <t>INV-06</t>
        </is>
      </c>
      <c r="C41" s="8" t="inlineStr">
        <is>
          <t>Experimentación arquitectónica en Ciudad Abierta</t>
        </is>
      </c>
    </row>
    <row r="42">
      <c r="A42" s="8" t="inlineStr">
        <is>
          <t>TEM-038</t>
        </is>
      </c>
      <c r="B42" s="8" t="inlineStr">
        <is>
          <t>INV-06</t>
        </is>
      </c>
      <c r="C42" s="8" t="inlineStr">
        <is>
          <t>Temas urbanos</t>
        </is>
      </c>
    </row>
    <row r="43">
      <c r="A43" s="8" t="inlineStr">
        <is>
          <t>TEM-039</t>
        </is>
      </c>
      <c r="B43" s="8" t="inlineStr">
        <is>
          <t>INV-06</t>
        </is>
      </c>
      <c r="C43" s="8" t="inlineStr">
        <is>
          <t>Equipamiento e infraestructura urbana</t>
        </is>
      </c>
    </row>
    <row r="44">
      <c r="A44" s="8" t="inlineStr">
        <is>
          <t>TEM-040</t>
        </is>
      </c>
      <c r="B44" s="8" t="inlineStr">
        <is>
          <t>INV-06</t>
        </is>
      </c>
      <c r="C44" s="8" t="inlineStr">
        <is>
          <t>Ciudad y territorio</t>
        </is>
      </c>
    </row>
    <row r="45">
      <c r="A45" s="8" t="inlineStr">
        <is>
          <t>TEM-041</t>
        </is>
      </c>
      <c r="B45" s="8" t="inlineStr">
        <is>
          <t>INV-06</t>
        </is>
      </c>
      <c r="C45" s="8" t="inlineStr">
        <is>
          <t>Movilidad sustentable</t>
        </is>
      </c>
    </row>
    <row r="46">
      <c r="A46" s="8" t="inlineStr">
        <is>
          <t>TEM-042</t>
        </is>
      </c>
      <c r="B46" s="8" t="inlineStr">
        <is>
          <t>INV-06</t>
        </is>
      </c>
      <c r="C46" s="8" t="inlineStr">
        <is>
          <t>Habitabilidad en infraestructura urbana técnica y natural</t>
        </is>
      </c>
    </row>
    <row r="47">
      <c r="A47" s="8" t="inlineStr">
        <is>
          <t>TEM-043</t>
        </is>
      </c>
      <c r="B47" s="8" t="inlineStr">
        <is>
          <t>INV-07</t>
        </is>
      </c>
      <c r="C47" s="8" t="inlineStr">
        <is>
          <t>Vivienda en arriendo</t>
        </is>
      </c>
    </row>
    <row r="48">
      <c r="A48" s="8" t="inlineStr">
        <is>
          <t>TEM-044</t>
        </is>
      </c>
      <c r="B48" s="8" t="inlineStr">
        <is>
          <t>INV-07</t>
        </is>
      </c>
      <c r="C48" s="8" t="inlineStr">
        <is>
          <t>Financiarización de la vivienda</t>
        </is>
      </c>
    </row>
    <row r="49">
      <c r="A49" s="8" t="inlineStr">
        <is>
          <t>TEM-045</t>
        </is>
      </c>
      <c r="B49" s="8" t="inlineStr">
        <is>
          <t>INV-07</t>
        </is>
      </c>
      <c r="C49" s="8" t="inlineStr">
        <is>
          <t>Teoría urbana</t>
        </is>
      </c>
    </row>
    <row r="50">
      <c r="A50" s="8" t="inlineStr">
        <is>
          <t>TEM-046</t>
        </is>
      </c>
      <c r="B50" s="8" t="inlineStr">
        <is>
          <t>INV-07</t>
        </is>
      </c>
      <c r="C50" s="8" t="inlineStr">
        <is>
          <t>Metodologías de investigación cualitativa</t>
        </is>
      </c>
    </row>
    <row r="51">
      <c r="A51" s="8" t="inlineStr">
        <is>
          <t>TEM-047</t>
        </is>
      </c>
      <c r="B51" s="8" t="inlineStr">
        <is>
          <t>INV-08</t>
        </is>
      </c>
      <c r="C51" s="8" t="inlineStr">
        <is>
          <t>Ecología política y diseño de la transición</t>
        </is>
      </c>
    </row>
    <row r="52">
      <c r="A52" s="8" t="inlineStr">
        <is>
          <t>TEM-048</t>
        </is>
      </c>
      <c r="B52" s="8" t="inlineStr">
        <is>
          <t>INV-08</t>
        </is>
      </c>
      <c r="C52" s="8" t="inlineStr">
        <is>
          <t>Urbanización capitalista y extractiva</t>
        </is>
      </c>
    </row>
    <row r="53">
      <c r="A53" s="8" t="inlineStr">
        <is>
          <t>TEM-049</t>
        </is>
      </c>
      <c r="B53" s="8" t="inlineStr">
        <is>
          <t>INV-08</t>
        </is>
      </c>
      <c r="C53" s="8" t="inlineStr">
        <is>
          <t>Comunes y comunalidad</t>
        </is>
      </c>
    </row>
    <row r="54">
      <c r="A54" s="8" t="inlineStr">
        <is>
          <t>TEM-050</t>
        </is>
      </c>
      <c r="B54" s="8" t="inlineStr">
        <is>
          <t>INV-08</t>
        </is>
      </c>
      <c r="C54" s="8" t="inlineStr">
        <is>
          <t>Decolonialidad y urbanización</t>
        </is>
      </c>
    </row>
    <row r="55">
      <c r="A55" s="8" t="inlineStr">
        <is>
          <t>TEM-051</t>
        </is>
      </c>
      <c r="B55" s="8" t="inlineStr">
        <is>
          <t>INV-08</t>
        </is>
      </c>
      <c r="C55" s="8" t="inlineStr">
        <is>
          <t>Frontera, relacionalidad y diferencia</t>
        </is>
      </c>
    </row>
    <row r="56">
      <c r="A56" s="8" t="inlineStr">
        <is>
          <t>TEM-052</t>
        </is>
      </c>
      <c r="B56" s="8" t="inlineStr">
        <is>
          <t>INV-08</t>
        </is>
      </c>
      <c r="C56" s="8" t="inlineStr">
        <is>
          <t>Transformaciones socioecológicas</t>
        </is>
      </c>
    </row>
    <row r="57">
      <c r="A57" s="8" t="inlineStr">
        <is>
          <t>TEM-053</t>
        </is>
      </c>
      <c r="B57" s="8" t="inlineStr">
        <is>
          <t>INV-08</t>
        </is>
      </c>
      <c r="C57" s="8" t="inlineStr">
        <is>
          <t>Resiliencias humanas y más-que-humanas</t>
        </is>
      </c>
    </row>
    <row r="58">
      <c r="A58" s="8" t="inlineStr">
        <is>
          <t>TEM-054</t>
        </is>
      </c>
      <c r="B58" s="8" t="inlineStr">
        <is>
          <t>INV-09</t>
        </is>
      </c>
      <c r="C58" s="8" t="inlineStr">
        <is>
          <t>Relación poesía-oficio</t>
        </is>
      </c>
    </row>
    <row r="59">
      <c r="A59" s="8" t="inlineStr">
        <is>
          <t>TEM-055</t>
        </is>
      </c>
      <c r="B59" s="8" t="inlineStr">
        <is>
          <t>INV-09</t>
        </is>
      </c>
      <c r="C59" s="8" t="inlineStr">
        <is>
          <t>Seminario de América</t>
        </is>
      </c>
    </row>
    <row r="60">
      <c r="A60" s="8" t="inlineStr">
        <is>
          <t>TEM-056</t>
        </is>
      </c>
      <c r="B60" s="8" t="inlineStr">
        <is>
          <t>INV-09</t>
        </is>
      </c>
      <c r="C60" s="8" t="inlineStr">
        <is>
          <t>Archivo histórico</t>
        </is>
      </c>
    </row>
    <row r="61">
      <c r="A61" s="8" t="inlineStr">
        <is>
          <t>TEM-057</t>
        </is>
      </c>
      <c r="B61" s="8" t="inlineStr">
        <is>
          <t>INV-09</t>
        </is>
      </c>
      <c r="C61" s="8" t="inlineStr">
        <is>
          <t>Investigación en posgrado dentro de Educación, Espacio y Aprendizaje</t>
        </is>
      </c>
    </row>
    <row r="62">
      <c r="A62" s="8" t="inlineStr">
        <is>
          <t>TEM-058</t>
        </is>
      </c>
      <c r="B62" s="8" t="inlineStr">
        <is>
          <t>INV-10</t>
        </is>
      </c>
      <c r="C62" s="8" t="inlineStr">
        <is>
          <t>Arquitectura como medio didáctico</t>
        </is>
      </c>
    </row>
    <row r="63">
      <c r="A63" s="8" t="inlineStr">
        <is>
          <t>TEM-059</t>
        </is>
      </c>
      <c r="B63" s="8" t="inlineStr">
        <is>
          <t>INV-10</t>
        </is>
      </c>
      <c r="C63" s="8" t="inlineStr">
        <is>
          <t>Capacidad didáctica de la obra</t>
        </is>
      </c>
    </row>
    <row r="64">
      <c r="A64" s="8" t="inlineStr">
        <is>
          <t>TEM-060</t>
        </is>
      </c>
      <c r="B64" s="8" t="inlineStr">
        <is>
          <t>INV-10</t>
        </is>
      </c>
      <c r="C64" s="8" t="inlineStr">
        <is>
          <t>Espacios de aprendizaje en contextos socialmente vulnerables</t>
        </is>
      </c>
    </row>
    <row r="65">
      <c r="A65" s="8" t="inlineStr">
        <is>
          <t>TEM-061</t>
        </is>
      </c>
      <c r="B65" s="8" t="inlineStr">
        <is>
          <t>INV-10</t>
        </is>
      </c>
      <c r="C65" s="8" t="inlineStr">
        <is>
          <t>Estimulación temprana</t>
        </is>
      </c>
    </row>
    <row r="66">
      <c r="A66" s="8" t="inlineStr">
        <is>
          <t>TEM-062</t>
        </is>
      </c>
      <c r="B66" s="8" t="inlineStr">
        <is>
          <t>INV-11</t>
        </is>
      </c>
      <c r="C66" s="8" t="inlineStr">
        <is>
          <t>Diseño y artesanía</t>
        </is>
      </c>
    </row>
    <row r="67">
      <c r="A67" s="8" t="inlineStr">
        <is>
          <t>TEM-063</t>
        </is>
      </c>
      <c r="B67" s="8" t="inlineStr">
        <is>
          <t>INV-11</t>
        </is>
      </c>
      <c r="C67" s="8" t="inlineStr">
        <is>
          <t>Diseño social y territorial</t>
        </is>
      </c>
    </row>
    <row r="68">
      <c r="A68" s="8" t="inlineStr">
        <is>
          <t>TEM-064</t>
        </is>
      </c>
      <c r="B68" s="8" t="inlineStr">
        <is>
          <t>INV-11</t>
        </is>
      </c>
      <c r="C68" s="8" t="inlineStr">
        <is>
          <t>Diseño decolonial</t>
        </is>
      </c>
    </row>
    <row r="69">
      <c r="A69" s="8" t="inlineStr">
        <is>
          <t>TEM-065</t>
        </is>
      </c>
      <c r="B69" s="8" t="inlineStr">
        <is>
          <t>INV-11</t>
        </is>
      </c>
      <c r="C69" s="8" t="inlineStr">
        <is>
          <t>Interacción entre oficio y cultura</t>
        </is>
      </c>
    </row>
    <row r="70">
      <c r="A70" s="8" t="inlineStr">
        <is>
          <t>TEM-066</t>
        </is>
      </c>
      <c r="B70" s="8" t="inlineStr">
        <is>
          <t>INV-11</t>
        </is>
      </c>
      <c r="C70" s="8" t="inlineStr">
        <is>
          <t>Objetos, contexto social y cultural</t>
        </is>
      </c>
    </row>
    <row r="71">
      <c r="A71" s="8" t="inlineStr">
        <is>
          <t>TEM-067</t>
        </is>
      </c>
      <c r="B71" s="8" t="inlineStr">
        <is>
          <t>INV-11</t>
        </is>
      </c>
      <c r="C71" s="8" t="inlineStr">
        <is>
          <t>Patrimonio cultural material e inmaterial</t>
        </is>
      </c>
    </row>
    <row r="72">
      <c r="A72" s="8" t="inlineStr">
        <is>
          <t>TEM-068</t>
        </is>
      </c>
      <c r="B72" s="8" t="inlineStr">
        <is>
          <t>INV-12</t>
        </is>
      </c>
      <c r="C72" s="8" t="inlineStr">
        <is>
          <t>Diseño universal desde la accesibilidad cognitiva</t>
        </is>
      </c>
    </row>
    <row r="73">
      <c r="A73" s="8" t="inlineStr">
        <is>
          <t>TEM-069</t>
        </is>
      </c>
      <c r="B73" s="8" t="inlineStr">
        <is>
          <t>INV-12</t>
        </is>
      </c>
      <c r="C73" s="8" t="inlineStr">
        <is>
          <t>Comunicación visual</t>
        </is>
      </c>
    </row>
    <row r="74">
      <c r="A74" s="8" t="inlineStr">
        <is>
          <t>TEM-070</t>
        </is>
      </c>
      <c r="B74" s="8" t="inlineStr">
        <is>
          <t>INV-12</t>
        </is>
      </c>
      <c r="C74" s="8" t="inlineStr">
        <is>
          <t>Participación inclusiva</t>
        </is>
      </c>
    </row>
    <row r="75">
      <c r="A75" s="8" t="inlineStr">
        <is>
          <t>TEM-071</t>
        </is>
      </c>
      <c r="B75" s="8" t="inlineStr">
        <is>
          <t>INV-12</t>
        </is>
      </c>
      <c r="C75" s="8" t="inlineStr">
        <is>
          <t>Diseño de sistemas inteligentes</t>
        </is>
      </c>
    </row>
    <row r="76">
      <c r="A76" s="8" t="inlineStr">
        <is>
          <t>TEM-072</t>
        </is>
      </c>
      <c r="B76" s="8" t="inlineStr">
        <is>
          <t>INV-12</t>
        </is>
      </c>
      <c r="C76" s="8" t="inlineStr">
        <is>
          <t>IA como material de diseño</t>
        </is>
      </c>
    </row>
    <row r="77">
      <c r="A77" s="8" t="inlineStr">
        <is>
          <t>TEM-073</t>
        </is>
      </c>
      <c r="B77" s="8" t="inlineStr">
        <is>
          <t>INV-12</t>
        </is>
      </c>
      <c r="C77" s="8" t="inlineStr">
        <is>
          <t>Diseño para la democracia</t>
        </is>
      </c>
    </row>
    <row r="78">
      <c r="A78" s="8" t="inlineStr">
        <is>
          <t>TEM-074</t>
        </is>
      </c>
      <c r="B78" s="8" t="inlineStr">
        <is>
          <t>INV-12</t>
        </is>
      </c>
      <c r="C78" s="8" t="inlineStr">
        <is>
          <t>Plataformas de comunicación ciudadana</t>
        </is>
      </c>
    </row>
    <row r="79">
      <c r="A79" s="8" t="inlineStr">
        <is>
          <t>TEM-075</t>
        </is>
      </c>
      <c r="B79" s="8" t="inlineStr">
        <is>
          <t>INV-12</t>
        </is>
      </c>
      <c r="C79" s="8" t="inlineStr">
        <is>
          <t>Comunicación aumentativa alternativa</t>
        </is>
      </c>
    </row>
    <row r="80">
      <c r="A80" s="8" t="inlineStr">
        <is>
          <t>TEM-076</t>
        </is>
      </c>
      <c r="B80" s="8" t="inlineStr">
        <is>
          <t>INV-12</t>
        </is>
      </c>
      <c r="C80" s="8" t="inlineStr">
        <is>
          <t>Diseño y vida independiente</t>
        </is>
      </c>
    </row>
    <row r="81">
      <c r="A81" s="8" t="inlineStr">
        <is>
          <t>TEM-077</t>
        </is>
      </c>
      <c r="B81" s="8" t="inlineStr">
        <is>
          <t>INV-12</t>
        </is>
      </c>
      <c r="C81" s="8" t="inlineStr">
        <is>
          <t>Diseño de interacción y servicios</t>
        </is>
      </c>
    </row>
    <row r="82">
      <c r="A82" s="8" t="inlineStr">
        <is>
          <t>TEM-078</t>
        </is>
      </c>
      <c r="B82" s="8" t="inlineStr">
        <is>
          <t>INV-13</t>
        </is>
      </c>
      <c r="C82" s="8" t="inlineStr">
        <is>
          <t>Habitabilidad</t>
        </is>
      </c>
    </row>
    <row r="83">
      <c r="A83" s="8" t="inlineStr">
        <is>
          <t>TEM-079</t>
        </is>
      </c>
      <c r="B83" s="8" t="inlineStr">
        <is>
          <t>INV-13</t>
        </is>
      </c>
      <c r="C83" s="8" t="inlineStr">
        <is>
          <t>Mobiliario y lugar</t>
        </is>
      </c>
    </row>
    <row r="84">
      <c r="A84" s="8" t="inlineStr">
        <is>
          <t>TEM-080</t>
        </is>
      </c>
      <c r="B84" s="8" t="inlineStr">
        <is>
          <t>INV-13</t>
        </is>
      </c>
      <c r="C84" s="8" t="inlineStr">
        <is>
          <t>Actos de la vida urbana y cotidiana</t>
        </is>
      </c>
    </row>
    <row r="85">
      <c r="A85" s="8" t="inlineStr">
        <is>
          <t>TEM-081</t>
        </is>
      </c>
      <c r="B85" s="8" t="inlineStr">
        <is>
          <t>INV-13</t>
        </is>
      </c>
      <c r="C85" s="8" t="inlineStr">
        <is>
          <t>Materialidad y obra</t>
        </is>
      </c>
    </row>
    <row r="86">
      <c r="A86" s="8" t="inlineStr">
        <is>
          <t>TEM-082</t>
        </is>
      </c>
      <c r="B86" s="8" t="inlineStr">
        <is>
          <t>INV-13</t>
        </is>
      </c>
      <c r="C86" s="8" t="inlineStr">
        <is>
          <t>Sistemas de proyecto desde origen a implementación</t>
        </is>
      </c>
    </row>
    <row r="87">
      <c r="A87" s="8" t="inlineStr">
        <is>
          <t>TEM-083</t>
        </is>
      </c>
      <c r="B87" s="8" t="inlineStr">
        <is>
          <t>INV-14</t>
        </is>
      </c>
      <c r="C87" s="8" t="inlineStr">
        <is>
          <t>Inversión pública y evaluación social de proyectos</t>
        </is>
      </c>
    </row>
    <row r="88">
      <c r="A88" s="8" t="inlineStr">
        <is>
          <t>TEM-084</t>
        </is>
      </c>
      <c r="B88" s="8" t="inlineStr">
        <is>
          <t>INV-14</t>
        </is>
      </c>
      <c r="C88" s="8" t="inlineStr">
        <is>
          <t>Desarrollo de metodologías para la evaluación social de proyectos</t>
        </is>
      </c>
    </row>
    <row r="89">
      <c r="A89" s="8" t="inlineStr">
        <is>
          <t>TEM-085</t>
        </is>
      </c>
      <c r="B89" s="8" t="inlineStr">
        <is>
          <t>INV-14</t>
        </is>
      </c>
      <c r="C89" s="8" t="inlineStr">
        <is>
          <t>Valoración de beneficios sociales generados por proyectos de inversión</t>
        </is>
      </c>
    </row>
    <row r="90">
      <c r="A90" s="8" t="inlineStr">
        <is>
          <t>TEM-086</t>
        </is>
      </c>
      <c r="B90" s="8" t="inlineStr">
        <is>
          <t>INV-15</t>
        </is>
      </c>
      <c r="C90" s="8" t="inlineStr">
        <is>
          <t>Fabricación digital</t>
        </is>
      </c>
    </row>
    <row r="91">
      <c r="A91" s="8" t="inlineStr">
        <is>
          <t>TEM-087</t>
        </is>
      </c>
      <c r="B91" s="8" t="inlineStr">
        <is>
          <t>INV-15</t>
        </is>
      </c>
      <c r="C91" s="8" t="inlineStr">
        <is>
          <t>Fablabs</t>
        </is>
      </c>
    </row>
    <row r="92">
      <c r="A92" s="8" t="inlineStr">
        <is>
          <t>TEM-088</t>
        </is>
      </c>
      <c r="B92" s="8" t="inlineStr">
        <is>
          <t>INV-15</t>
        </is>
      </c>
      <c r="C92" s="8" t="inlineStr">
        <is>
          <t>Modelado paramétrico</t>
        </is>
      </c>
    </row>
    <row r="93">
      <c r="A93" s="8" t="inlineStr">
        <is>
          <t>TEM-089</t>
        </is>
      </c>
      <c r="B93" s="8" t="inlineStr">
        <is>
          <t>INV-15</t>
        </is>
      </c>
      <c r="C93" s="8" t="inlineStr">
        <is>
          <t>Diseño tecnológico aplicado</t>
        </is>
      </c>
    </row>
    <row r="94">
      <c r="A94" s="8" t="inlineStr">
        <is>
          <t>TEM-090</t>
        </is>
      </c>
      <c r="B94" s="8" t="inlineStr">
        <is>
          <t>INV-15</t>
        </is>
      </c>
      <c r="C94" s="8" t="inlineStr">
        <is>
          <t>Tecnología y sociedad</t>
        </is>
      </c>
    </row>
    <row r="95">
      <c r="A95" s="8" t="inlineStr">
        <is>
          <t>TEM-091</t>
        </is>
      </c>
      <c r="B95" s="8" t="inlineStr">
        <is>
          <t>INV-15</t>
        </is>
      </c>
      <c r="C95" s="8" t="inlineStr">
        <is>
          <t>Aprendizaje desde el hacer-crear</t>
        </is>
      </c>
    </row>
    <row r="96">
      <c r="A96" s="8" t="inlineStr">
        <is>
          <t>TEM-092</t>
        </is>
      </c>
      <c r="B96" s="8" t="inlineStr">
        <is>
          <t>INV-15</t>
        </is>
      </c>
      <c r="C96" s="8" t="inlineStr">
        <is>
          <t>Investigación proyectual</t>
        </is>
      </c>
    </row>
    <row r="97">
      <c r="A97" s="8" t="inlineStr">
        <is>
          <t>TEM-093</t>
        </is>
      </c>
      <c r="B97" s="8" t="inlineStr">
        <is>
          <t>INV-15</t>
        </is>
      </c>
      <c r="C97" s="8" t="inlineStr">
        <is>
          <t>Mediación territorial y hospitalidad en lo habitable</t>
        </is>
      </c>
    </row>
    <row r="98">
      <c r="A98" s="8" t="inlineStr">
        <is>
          <t>TEM-094</t>
        </is>
      </c>
      <c r="B98" s="8" t="inlineStr">
        <is>
          <t>INV-15</t>
        </is>
      </c>
      <c r="C98" s="8" t="inlineStr">
        <is>
          <t>Modelado paramétrico interpretativo</t>
        </is>
      </c>
    </row>
    <row r="99">
      <c r="A99" s="8" t="inlineStr">
        <is>
          <t>TEM-095</t>
        </is>
      </c>
      <c r="B99" s="8" t="inlineStr">
        <is>
          <t>INV-15</t>
        </is>
      </c>
      <c r="C99" s="8" t="inlineStr">
        <is>
          <t>Transferencia tecnológica distribuida</t>
        </is>
      </c>
    </row>
    <row r="100">
      <c r="A100" s="8" t="inlineStr">
        <is>
          <t>TEM-096</t>
        </is>
      </c>
      <c r="B100" s="8" t="inlineStr">
        <is>
          <t>INV-16</t>
        </is>
      </c>
      <c r="C100" s="8" t="inlineStr">
        <is>
          <t>Pedagogía del Diseño</t>
        </is>
      </c>
    </row>
    <row r="101">
      <c r="A101" s="8" t="inlineStr">
        <is>
          <t>TEM-097</t>
        </is>
      </c>
      <c r="B101" s="8" t="inlineStr">
        <is>
          <t>INV-16</t>
        </is>
      </c>
      <c r="C101" s="8" t="inlineStr">
        <is>
          <t>Diseño de información visual</t>
        </is>
      </c>
    </row>
    <row r="102">
      <c r="A102" s="8" t="inlineStr">
        <is>
          <t>TEM-098</t>
        </is>
      </c>
      <c r="B102" s="8" t="inlineStr">
        <is>
          <t>INV-17</t>
        </is>
      </c>
      <c r="C102" s="8" t="inlineStr">
        <is>
          <t>Diseño arquitectónico</t>
        </is>
      </c>
    </row>
    <row r="103">
      <c r="A103" s="8" t="inlineStr">
        <is>
          <t>TEM-099</t>
        </is>
      </c>
      <c r="B103" s="8" t="inlineStr">
        <is>
          <t>INV-17</t>
        </is>
      </c>
      <c r="C103" s="8" t="inlineStr">
        <is>
          <t>Educación en arquitectura</t>
        </is>
      </c>
    </row>
    <row r="104">
      <c r="A104" s="8" t="inlineStr">
        <is>
          <t>TEM-100</t>
        </is>
      </c>
      <c r="B104" s="8" t="inlineStr">
        <is>
          <t>INV-17</t>
        </is>
      </c>
      <c r="C104" s="8" t="inlineStr">
        <is>
          <t>Teoría de la arquitectura</t>
        </is>
      </c>
    </row>
    <row r="105">
      <c r="A105" s="8" t="inlineStr">
        <is>
          <t>TEM-101</t>
        </is>
      </c>
      <c r="B105" s="8" t="inlineStr">
        <is>
          <t>INV-17</t>
        </is>
      </c>
      <c r="C105" s="8" t="inlineStr">
        <is>
          <t>Arte y arquitectura</t>
        </is>
      </c>
    </row>
    <row r="106">
      <c r="A106" s="8" t="inlineStr">
        <is>
          <t>TEM-102</t>
        </is>
      </c>
      <c r="B106" s="8" t="inlineStr">
        <is>
          <t>INV-18</t>
        </is>
      </c>
      <c r="C106" s="8" t="inlineStr">
        <is>
          <t>Historia y crítica de la arquitectura moderna</t>
        </is>
      </c>
    </row>
    <row r="107">
      <c r="A107" s="8" t="inlineStr">
        <is>
          <t>TEM-103</t>
        </is>
      </c>
      <c r="B107" s="8" t="inlineStr">
        <is>
          <t>INV-18</t>
        </is>
      </c>
      <c r="C107" s="8" t="inlineStr">
        <is>
          <t>Arquitectura moderna latinoamericana</t>
        </is>
      </c>
    </row>
    <row r="108">
      <c r="A108" s="8" t="inlineStr">
        <is>
          <t>TEM-104</t>
        </is>
      </c>
      <c r="B108" s="8" t="inlineStr">
        <is>
          <t>INV-18</t>
        </is>
      </c>
      <c r="C108" s="8" t="inlineStr">
        <is>
          <t>Estudio del concepto de espacio</t>
        </is>
      </c>
    </row>
    <row r="109">
      <c r="A109" s="8" t="inlineStr">
        <is>
          <t>TEM-105</t>
        </is>
      </c>
      <c r="B109" s="8" t="inlineStr">
        <is>
          <t>INV-18</t>
        </is>
      </c>
      <c r="C109" s="8" t="inlineStr">
        <is>
          <t>Habitar moderno</t>
        </is>
      </c>
    </row>
    <row r="110">
      <c r="A110" s="8" t="inlineStr">
        <is>
          <t>TEM-106</t>
        </is>
      </c>
      <c r="B110" s="8" t="inlineStr">
        <is>
          <t>INV-18</t>
        </is>
      </c>
      <c r="C110" s="8" t="inlineStr">
        <is>
          <t>Arquitectura del Cono Sur</t>
        </is>
      </c>
    </row>
    <row r="111">
      <c r="A111" s="8" t="inlineStr">
        <is>
          <t>TEM-107</t>
        </is>
      </c>
      <c r="B111" s="8" t="inlineStr">
        <is>
          <t>INV-18</t>
        </is>
      </c>
      <c r="C111" s="8" t="inlineStr">
        <is>
          <t>Patrimonio cultural de cuadernos-bitácora de la e[ad]</t>
        </is>
      </c>
    </row>
    <row r="112">
      <c r="A112" s="8" t="inlineStr">
        <is>
          <t>TEM-108</t>
        </is>
      </c>
      <c r="B112" s="8" t="inlineStr">
        <is>
          <t>INV-19</t>
        </is>
      </c>
      <c r="C112" s="8" t="inlineStr">
        <is>
          <t>Máquinas expresivas</t>
        </is>
      </c>
    </row>
    <row r="113">
      <c r="A113" s="8" t="inlineStr">
        <is>
          <t>TEM-109</t>
        </is>
      </c>
      <c r="B113" s="8" t="inlineStr">
        <is>
          <t>INV-19</t>
        </is>
      </c>
      <c r="C113" s="8" t="inlineStr">
        <is>
          <t>Algoritmos cinéticos</t>
        </is>
      </c>
    </row>
    <row r="114">
      <c r="A114" s="8" t="inlineStr">
        <is>
          <t>TEM-110</t>
        </is>
      </c>
      <c r="B114" s="8" t="inlineStr">
        <is>
          <t>INV-19</t>
        </is>
      </c>
      <c r="C114" s="8" t="inlineStr">
        <is>
          <t>Techné y mundo</t>
        </is>
      </c>
    </row>
    <row r="115">
      <c r="A115" s="8" t="inlineStr">
        <is>
          <t>TEM-111</t>
        </is>
      </c>
      <c r="B115" s="8" t="inlineStr">
        <is>
          <t>INV-19</t>
        </is>
      </c>
      <c r="C115" s="8" t="inlineStr">
        <is>
          <t>Epistemología del diseño</t>
        </is>
      </c>
    </row>
    <row r="116">
      <c r="A116" s="8" t="inlineStr">
        <is>
          <t>TEM-112</t>
        </is>
      </c>
      <c r="B116" s="8" t="inlineStr">
        <is>
          <t>INV-19</t>
        </is>
      </c>
      <c r="C116" s="8" t="inlineStr">
        <is>
          <t>Innovación social y tecnológica</t>
        </is>
      </c>
    </row>
    <row r="117">
      <c r="A117" s="8" t="inlineStr">
        <is>
          <t>TEM-113</t>
        </is>
      </c>
      <c r="B117" s="8" t="inlineStr">
        <is>
          <t>INV-19</t>
        </is>
      </c>
      <c r="C117" s="8" t="inlineStr">
        <is>
          <t>Transferencias disciplinares y formativas</t>
        </is>
      </c>
    </row>
    <row r="118">
      <c r="A118" s="8" t="inlineStr">
        <is>
          <t>TEM-114</t>
        </is>
      </c>
      <c r="B118" s="8" t="inlineStr">
        <is>
          <t>INV-19</t>
        </is>
      </c>
      <c r="C118" s="8" t="inlineStr">
        <is>
          <t>Observación como transmisión de ethos</t>
        </is>
      </c>
    </row>
    <row r="119">
      <c r="A119" s="8" t="inlineStr">
        <is>
          <t>TEM-115</t>
        </is>
      </c>
      <c r="B119" s="8" t="inlineStr">
        <is>
          <t>INV-19</t>
        </is>
      </c>
      <c r="C119" s="8" t="inlineStr">
        <is>
          <t>Habitabilidad y biodiversidad</t>
        </is>
      </c>
    </row>
    <row r="120">
      <c r="A120" s="8" t="inlineStr">
        <is>
          <t>TEM-116</t>
        </is>
      </c>
      <c r="B120" s="8" t="inlineStr">
        <is>
          <t>INV-20</t>
        </is>
      </c>
      <c r="C120" s="8" t="inlineStr">
        <is>
          <t>Fundamentos poéticos y artísticos del diseño</t>
        </is>
      </c>
    </row>
    <row r="121">
      <c r="A121" s="8" t="inlineStr">
        <is>
          <t>TEM-117</t>
        </is>
      </c>
      <c r="B121" s="8" t="inlineStr">
        <is>
          <t>INV-20</t>
        </is>
      </c>
      <c r="C121" s="8" t="inlineStr">
        <is>
          <t>Diseño gráfico editorial</t>
        </is>
      </c>
    </row>
    <row r="122">
      <c r="A122" s="8" t="inlineStr">
        <is>
          <t>TEM-118</t>
        </is>
      </c>
      <c r="B122" s="8" t="inlineStr">
        <is>
          <t>INV-20</t>
        </is>
      </c>
      <c r="C122" s="8" t="inlineStr">
        <is>
          <t>Montajes expositivos</t>
        </is>
      </c>
    </row>
    <row r="123">
      <c r="A123" s="8" t="inlineStr">
        <is>
          <t>TEM-119</t>
        </is>
      </c>
      <c r="B123" s="8" t="inlineStr">
        <is>
          <t>INV-20</t>
        </is>
      </c>
      <c r="C123" s="8" t="inlineStr">
        <is>
          <t>Heredad creativa del diseño en Travesías</t>
        </is>
      </c>
    </row>
    <row r="124">
      <c r="A124" s="8" t="inlineStr">
        <is>
          <t>TEM-120</t>
        </is>
      </c>
      <c r="B124" s="8" t="inlineStr">
        <is>
          <t>INV-20</t>
        </is>
      </c>
      <c r="C124" s="8" t="inlineStr">
        <is>
          <t>Acervo fundacional de la Escuela</t>
        </is>
      </c>
    </row>
    <row r="125">
      <c r="A125" s="8" t="inlineStr">
        <is>
          <t>TEM-121</t>
        </is>
      </c>
      <c r="B125" s="8" t="inlineStr">
        <is>
          <t>INV-20</t>
        </is>
      </c>
      <c r="C125" s="8" t="inlineStr">
        <is>
          <t>Poética del oficio</t>
        </is>
      </c>
    </row>
    <row r="126">
      <c r="A126" s="8" t="inlineStr">
        <is>
          <t>TEM-122</t>
        </is>
      </c>
      <c r="B126" s="8" t="inlineStr">
        <is>
          <t>INV-20</t>
        </is>
      </c>
      <c r="C126" s="8" t="inlineStr">
        <is>
          <t>Actos poéticos</t>
        </is>
      </c>
    </row>
    <row r="127">
      <c r="A127" s="8" t="inlineStr">
        <is>
          <t>TEM-123</t>
        </is>
      </c>
      <c r="B127" s="8" t="inlineStr">
        <is>
          <t>INV-20</t>
        </is>
      </c>
      <c r="C127" s="8" t="inlineStr">
        <is>
          <t>Contenidos patrimoniales y su exposición material</t>
        </is>
      </c>
    </row>
    <row r="128">
      <c r="A128" s="8" t="inlineStr">
        <is>
          <t>TEM-124</t>
        </is>
      </c>
      <c r="B128" s="8" t="inlineStr">
        <is>
          <t>INV-21</t>
        </is>
      </c>
      <c r="C128" s="8" t="inlineStr">
        <is>
          <t>Interacción física en espacios expositivos</t>
        </is>
      </c>
    </row>
    <row r="129">
      <c r="A129" s="8" t="inlineStr">
        <is>
          <t>TEM-125</t>
        </is>
      </c>
      <c r="B129" s="8" t="inlineStr">
        <is>
          <t>INV-21</t>
        </is>
      </c>
      <c r="C129" s="8" t="inlineStr">
        <is>
          <t>Interacción como material de diseño</t>
        </is>
      </c>
    </row>
    <row r="130">
      <c r="A130" s="8" t="inlineStr">
        <is>
          <t>TEM-126</t>
        </is>
      </c>
      <c r="B130" s="8" t="inlineStr">
        <is>
          <t>INV-21</t>
        </is>
      </c>
      <c r="C130" s="8" t="inlineStr">
        <is>
          <t>Taller topológico multiescalar</t>
        </is>
      </c>
    </row>
    <row r="131">
      <c r="A131" s="8" t="inlineStr">
        <is>
          <t>TEM-127</t>
        </is>
      </c>
      <c r="B131" s="8" t="inlineStr">
        <is>
          <t>INV-21</t>
        </is>
      </c>
      <c r="C131" s="8" t="inlineStr">
        <is>
          <t>Formas resistentes del diseño</t>
        </is>
      </c>
    </row>
    <row r="132">
      <c r="A132" s="8" t="inlineStr">
        <is>
          <t>TEM-128</t>
        </is>
      </c>
      <c r="B132" s="8" t="inlineStr">
        <is>
          <t>INV-21</t>
        </is>
      </c>
      <c r="C132" s="8" t="inlineStr">
        <is>
          <t>Estructuras cinéticas y mecánico-expresivas</t>
        </is>
      </c>
    </row>
    <row r="133">
      <c r="A133" s="8" t="inlineStr">
        <is>
          <t>TEM-129</t>
        </is>
      </c>
      <c r="B133" s="8" t="inlineStr">
        <is>
          <t>INV-21</t>
        </is>
      </c>
      <c r="C133" s="8" t="inlineStr">
        <is>
          <t>Visualización territorial</t>
        </is>
      </c>
    </row>
    <row r="134">
      <c r="A134" s="8" t="inlineStr">
        <is>
          <t>TEM-130</t>
        </is>
      </c>
      <c r="B134" s="8" t="inlineStr">
        <is>
          <t>INV-21</t>
        </is>
      </c>
      <c r="C134" s="8" t="inlineStr">
        <is>
          <t>Patrimonio urbano y memoria material</t>
        </is>
      </c>
    </row>
    <row r="135">
      <c r="A135" s="8" t="inlineStr">
        <is>
          <t>TEM-131</t>
        </is>
      </c>
      <c r="B135" s="8" t="inlineStr">
        <is>
          <t>INV-21</t>
        </is>
      </c>
      <c r="C135" s="8" t="inlineStr">
        <is>
          <t>Multiterritorialidad y frontera</t>
        </is>
      </c>
    </row>
    <row r="136">
      <c r="A136" s="8" t="inlineStr">
        <is>
          <t>TEM-132</t>
        </is>
      </c>
      <c r="B136" s="8" t="inlineStr">
        <is>
          <t>INV-22</t>
        </is>
      </c>
      <c r="C136" s="8" t="inlineStr">
        <is>
          <t>Deriva urbana</t>
        </is>
      </c>
    </row>
    <row r="137">
      <c r="A137" s="8" t="inlineStr">
        <is>
          <t>TEM-133</t>
        </is>
      </c>
      <c r="B137" s="8" t="inlineStr">
        <is>
          <t>INV-22</t>
        </is>
      </c>
      <c r="C137" s="8" t="inlineStr">
        <is>
          <t>Caminar como práctica estética y artística</t>
        </is>
      </c>
    </row>
    <row r="138">
      <c r="A138" s="8" t="inlineStr">
        <is>
          <t>TEM-134</t>
        </is>
      </c>
      <c r="B138" s="8" t="inlineStr">
        <is>
          <t>INV-22</t>
        </is>
      </c>
      <c r="C138" s="8" t="inlineStr">
        <is>
          <t>Artes urbanas</t>
        </is>
      </c>
    </row>
    <row r="139">
      <c r="A139" s="8" t="inlineStr">
        <is>
          <t>TEM-135</t>
        </is>
      </c>
      <c r="B139" s="8" t="inlineStr">
        <is>
          <t>INV-22</t>
        </is>
      </c>
      <c r="C139" s="8" t="inlineStr">
        <is>
          <t>Investigación-acción</t>
        </is>
      </c>
    </row>
    <row r="140">
      <c r="A140" s="8" t="inlineStr">
        <is>
          <t>TEM-136</t>
        </is>
      </c>
      <c r="B140" s="8" t="inlineStr">
        <is>
          <t>INV-22</t>
        </is>
      </c>
      <c r="C140" s="8" t="inlineStr">
        <is>
          <t>Urbanismo afectivo</t>
        </is>
      </c>
    </row>
    <row r="141">
      <c r="A141" s="8" t="inlineStr">
        <is>
          <t>TEM-137</t>
        </is>
      </c>
      <c r="B141" s="8" t="inlineStr">
        <is>
          <t>INV-22</t>
        </is>
      </c>
      <c r="C141" s="8" t="inlineStr">
        <is>
          <t>Movimientos autogestionados</t>
        </is>
      </c>
    </row>
    <row r="142">
      <c r="A142" s="8" t="inlineStr">
        <is>
          <t>TEM-138</t>
        </is>
      </c>
      <c r="B142" s="8" t="inlineStr">
        <is>
          <t>INV-22</t>
        </is>
      </c>
      <c r="C142" s="8" t="inlineStr">
        <is>
          <t>Reutilización del patrimonio abandonado</t>
        </is>
      </c>
    </row>
    <row r="143">
      <c r="A143" s="8" t="inlineStr">
        <is>
          <t>TEM-139</t>
        </is>
      </c>
      <c r="B143" s="8" t="inlineStr">
        <is>
          <t>INV-22</t>
        </is>
      </c>
      <c r="C143" s="8" t="inlineStr">
        <is>
          <t>Cooperativismo</t>
        </is>
      </c>
    </row>
    <row r="144">
      <c r="A144" s="8" t="inlineStr">
        <is>
          <t>TEM-140</t>
        </is>
      </c>
      <c r="B144" s="8" t="inlineStr">
        <is>
          <t>INV-22</t>
        </is>
      </c>
      <c r="C144" s="8" t="inlineStr">
        <is>
          <t>Reuso del patrimonio público en abandono</t>
        </is>
      </c>
    </row>
  </sheetData>
  <mergeCells count="2">
    <mergeCell ref="A1:C1"/>
    <mergeCell ref="A2:C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58"/>
  <sheetViews>
    <sheetView workbookViewId="0">
      <pane ySplit="4" topLeftCell="A5" activePane="bottomLeft" state="frozen"/>
      <selection pane="bottomLeft" activeCell="A1" sqref="A1"/>
    </sheetView>
  </sheetViews>
  <sheetFormatPr baseColWidth="8" defaultRowHeight="15"/>
  <cols>
    <col width="15" customWidth="1" min="1" max="1"/>
    <col width="15" customWidth="1" min="2" max="2"/>
  </cols>
  <sheetData>
    <row r="1">
      <c r="A1" s="6" t="inlineStr">
        <is>
          <t>09 · Sublínea ↔ Tema (m:n)</t>
        </is>
      </c>
    </row>
    <row r="2">
      <c r="A2" s="2" t="inlineStr">
        <is>
          <t>Mapeo de alta confianza. Sublíneas sin filas aquí están pendientes de poblar con temas declarados.</t>
        </is>
      </c>
    </row>
    <row r="4">
      <c r="A4" s="7" t="inlineStr">
        <is>
          <t>sublinea_id</t>
        </is>
      </c>
      <c r="B4" s="7" t="inlineStr">
        <is>
          <t>tema_id</t>
        </is>
      </c>
    </row>
    <row r="5">
      <c r="A5" s="8" t="inlineStr">
        <is>
          <t>SUB-01</t>
        </is>
      </c>
      <c r="B5" s="8" t="inlineStr">
        <is>
          <t>TEM-012</t>
        </is>
      </c>
    </row>
    <row r="6">
      <c r="A6" s="8" t="inlineStr">
        <is>
          <t>SUB-01</t>
        </is>
      </c>
      <c r="B6" s="8" t="inlineStr">
        <is>
          <t>TEM-068</t>
        </is>
      </c>
    </row>
    <row r="7">
      <c r="A7" s="8" t="inlineStr">
        <is>
          <t>SUB-02</t>
        </is>
      </c>
      <c r="B7" s="8" t="inlineStr">
        <is>
          <t>TEM-010</t>
        </is>
      </c>
    </row>
    <row r="8">
      <c r="A8" s="8" t="inlineStr">
        <is>
          <t>SUB-02</t>
        </is>
      </c>
      <c r="B8" s="8" t="inlineStr">
        <is>
          <t>TEM-013</t>
        </is>
      </c>
    </row>
    <row r="9">
      <c r="A9" s="8" t="inlineStr">
        <is>
          <t>SUB-02</t>
        </is>
      </c>
      <c r="B9" s="8" t="inlineStr">
        <is>
          <t>TEM-070</t>
        </is>
      </c>
    </row>
    <row r="10">
      <c r="A10" s="8" t="inlineStr">
        <is>
          <t>SUB-03</t>
        </is>
      </c>
      <c r="B10" s="8" t="inlineStr">
        <is>
          <t>TEM-056</t>
        </is>
      </c>
    </row>
    <row r="11">
      <c r="A11" s="8" t="inlineStr">
        <is>
          <t>SUB-03</t>
        </is>
      </c>
      <c r="B11" s="8" t="inlineStr">
        <is>
          <t>TEM-107</t>
        </is>
      </c>
    </row>
    <row r="12">
      <c r="A12" s="8" t="inlineStr">
        <is>
          <t>SUB-03</t>
        </is>
      </c>
      <c r="B12" s="8" t="inlineStr">
        <is>
          <t>TEM-120</t>
        </is>
      </c>
    </row>
    <row r="13">
      <c r="A13" s="8" t="inlineStr">
        <is>
          <t>SUB-03</t>
        </is>
      </c>
      <c r="B13" s="8" t="inlineStr">
        <is>
          <t>TEM-119</t>
        </is>
      </c>
    </row>
    <row r="14">
      <c r="A14" s="8" t="inlineStr">
        <is>
          <t>SUB-03</t>
        </is>
      </c>
      <c r="B14" s="8" t="inlineStr">
        <is>
          <t>TEM-037</t>
        </is>
      </c>
    </row>
    <row r="15">
      <c r="A15" s="8" t="inlineStr">
        <is>
          <t>SUB-04</t>
        </is>
      </c>
      <c r="B15" s="8" t="inlineStr">
        <is>
          <t>TEM-015</t>
        </is>
      </c>
    </row>
    <row r="16">
      <c r="A16" s="8" t="inlineStr">
        <is>
          <t>SUB-06</t>
        </is>
      </c>
      <c r="B16" s="8" t="inlineStr">
        <is>
          <t>TEM-058</t>
        </is>
      </c>
    </row>
    <row r="17">
      <c r="A17" s="8" t="inlineStr">
        <is>
          <t>SUB-06</t>
        </is>
      </c>
      <c r="B17" s="8" t="inlineStr">
        <is>
          <t>TEM-059</t>
        </is>
      </c>
    </row>
    <row r="18">
      <c r="A18" s="8" t="inlineStr">
        <is>
          <t>SUB-07</t>
        </is>
      </c>
      <c r="B18" s="8" t="inlineStr">
        <is>
          <t>TEM-075</t>
        </is>
      </c>
    </row>
    <row r="19">
      <c r="A19" s="8" t="inlineStr">
        <is>
          <t>SUB-08</t>
        </is>
      </c>
      <c r="B19" s="8" t="inlineStr">
        <is>
          <t>TEM-006</t>
        </is>
      </c>
    </row>
    <row r="20">
      <c r="A20" s="8" t="inlineStr">
        <is>
          <t>SUB-08</t>
        </is>
      </c>
      <c r="B20" s="8" t="inlineStr">
        <is>
          <t>TEM-098</t>
        </is>
      </c>
    </row>
    <row r="21">
      <c r="A21" s="8" t="inlineStr">
        <is>
          <t>SUB-09</t>
        </is>
      </c>
      <c r="B21" s="8" t="inlineStr">
        <is>
          <t>TEM-007</t>
        </is>
      </c>
    </row>
    <row r="22">
      <c r="A22" s="8" t="inlineStr">
        <is>
          <t>SUB-09</t>
        </is>
      </c>
      <c r="B22" s="8" t="inlineStr">
        <is>
          <t>TEM-001</t>
        </is>
      </c>
    </row>
    <row r="23">
      <c r="A23" s="8" t="inlineStr">
        <is>
          <t>SUB-09</t>
        </is>
      </c>
      <c r="B23" s="8" t="inlineStr">
        <is>
          <t>TEM-002</t>
        </is>
      </c>
    </row>
    <row r="24">
      <c r="A24" s="8" t="inlineStr">
        <is>
          <t>SUB-10</t>
        </is>
      </c>
      <c r="B24" s="8" t="inlineStr">
        <is>
          <t>TEM-008</t>
        </is>
      </c>
    </row>
    <row r="25">
      <c r="A25" s="8" t="inlineStr">
        <is>
          <t>SUB-10</t>
        </is>
      </c>
      <c r="B25" s="8" t="inlineStr">
        <is>
          <t>TEM-077</t>
        </is>
      </c>
    </row>
    <row r="26">
      <c r="A26" s="8" t="inlineStr">
        <is>
          <t>SUB-10</t>
        </is>
      </c>
      <c r="B26" s="8" t="inlineStr">
        <is>
          <t>TEM-125</t>
        </is>
      </c>
    </row>
    <row r="27">
      <c r="A27" s="8" t="inlineStr">
        <is>
          <t>SUB-10</t>
        </is>
      </c>
      <c r="B27" s="8" t="inlineStr">
        <is>
          <t>TEM-124</t>
        </is>
      </c>
    </row>
    <row r="28">
      <c r="A28" s="8" t="inlineStr">
        <is>
          <t>SUB-11</t>
        </is>
      </c>
      <c r="B28" s="8" t="inlineStr">
        <is>
          <t>TEM-076</t>
        </is>
      </c>
    </row>
    <row r="29">
      <c r="A29" s="8" t="inlineStr">
        <is>
          <t>SUB-12</t>
        </is>
      </c>
      <c r="B29" s="8" t="inlineStr">
        <is>
          <t>TEM-093</t>
        </is>
      </c>
    </row>
    <row r="30">
      <c r="A30" s="8" t="inlineStr">
        <is>
          <t>SUB-14</t>
        </is>
      </c>
      <c r="B30" s="8" t="inlineStr">
        <is>
          <t>TEM-060</t>
        </is>
      </c>
    </row>
    <row r="31">
      <c r="A31" s="8" t="inlineStr">
        <is>
          <t>SUB-15</t>
        </is>
      </c>
      <c r="B31" s="8" t="inlineStr">
        <is>
          <t>TEM-061</t>
        </is>
      </c>
    </row>
    <row r="32">
      <c r="A32" s="8" t="inlineStr">
        <is>
          <t>SUB-16</t>
        </is>
      </c>
      <c r="B32" s="8" t="inlineStr">
        <is>
          <t>TEM-060</t>
        </is>
      </c>
    </row>
    <row r="33">
      <c r="A33" s="8" t="inlineStr">
        <is>
          <t>SUB-18</t>
        </is>
      </c>
      <c r="B33" s="8" t="inlineStr">
        <is>
          <t>TEM-112</t>
        </is>
      </c>
    </row>
    <row r="34">
      <c r="A34" s="8" t="inlineStr">
        <is>
          <t>SUB-19</t>
        </is>
      </c>
      <c r="B34" s="8" t="inlineStr">
        <is>
          <t>TEM-096</t>
        </is>
      </c>
    </row>
    <row r="35">
      <c r="A35" s="8" t="inlineStr">
        <is>
          <t>SUB-19</t>
        </is>
      </c>
      <c r="B35" s="8" t="inlineStr">
        <is>
          <t>TEM-097</t>
        </is>
      </c>
    </row>
    <row r="36">
      <c r="A36" s="8" t="inlineStr">
        <is>
          <t>SUB-20</t>
        </is>
      </c>
      <c r="B36" s="8" t="inlineStr">
        <is>
          <t>TEM-009</t>
        </is>
      </c>
    </row>
    <row r="37">
      <c r="A37" s="8" t="inlineStr">
        <is>
          <t>SUB-20</t>
        </is>
      </c>
      <c r="B37" s="8" t="inlineStr">
        <is>
          <t>TEM-046</t>
        </is>
      </c>
    </row>
    <row r="38">
      <c r="A38" s="8" t="inlineStr">
        <is>
          <t>SUB-21</t>
        </is>
      </c>
      <c r="B38" s="8" t="inlineStr">
        <is>
          <t>TEM-050</t>
        </is>
      </c>
    </row>
    <row r="39">
      <c r="A39" s="8" t="inlineStr">
        <is>
          <t>SUB-21</t>
        </is>
      </c>
      <c r="B39" s="8" t="inlineStr">
        <is>
          <t>TEM-064</t>
        </is>
      </c>
    </row>
    <row r="40">
      <c r="A40" s="8" t="inlineStr">
        <is>
          <t>SUB-22</t>
        </is>
      </c>
      <c r="B40" s="8" t="inlineStr">
        <is>
          <t>TEM-034</t>
        </is>
      </c>
    </row>
    <row r="41">
      <c r="A41" s="8" t="inlineStr">
        <is>
          <t>SUB-22</t>
        </is>
      </c>
      <c r="B41" s="8" t="inlineStr">
        <is>
          <t>TEM-139</t>
        </is>
      </c>
    </row>
    <row r="42">
      <c r="A42" s="8" t="inlineStr">
        <is>
          <t>SUB-22</t>
        </is>
      </c>
      <c r="B42" s="8" t="inlineStr">
        <is>
          <t>TEM-137</t>
        </is>
      </c>
    </row>
    <row r="43">
      <c r="A43" s="8" t="inlineStr">
        <is>
          <t>SUB-25</t>
        </is>
      </c>
      <c r="B43" s="8" t="inlineStr">
        <is>
          <t>TEM-062</t>
        </is>
      </c>
    </row>
    <row r="44">
      <c r="A44" s="8" t="inlineStr">
        <is>
          <t>SUB-25</t>
        </is>
      </c>
      <c r="B44" s="8" t="inlineStr">
        <is>
          <t>TEM-065</t>
        </is>
      </c>
    </row>
    <row r="45">
      <c r="A45" s="8" t="inlineStr">
        <is>
          <t>SUB-26</t>
        </is>
      </c>
      <c r="B45" s="8" t="inlineStr">
        <is>
          <t>TEM-005</t>
        </is>
      </c>
    </row>
    <row r="46">
      <c r="A46" s="8" t="inlineStr">
        <is>
          <t>SUB-26</t>
        </is>
      </c>
      <c r="B46" s="8" t="inlineStr">
        <is>
          <t>TEM-100</t>
        </is>
      </c>
    </row>
    <row r="47">
      <c r="A47" s="8" t="inlineStr">
        <is>
          <t>SUB-26</t>
        </is>
      </c>
      <c r="B47" s="8" t="inlineStr">
        <is>
          <t>TEM-102</t>
        </is>
      </c>
    </row>
    <row r="48">
      <c r="A48" s="8" t="inlineStr">
        <is>
          <t>SUB-26</t>
        </is>
      </c>
      <c r="B48" s="8" t="inlineStr">
        <is>
          <t>TEM-103</t>
        </is>
      </c>
    </row>
    <row r="49">
      <c r="A49" s="8" t="inlineStr">
        <is>
          <t>SUB-27</t>
        </is>
      </c>
      <c r="B49" s="8" t="inlineStr">
        <is>
          <t>TEM-095</t>
        </is>
      </c>
    </row>
    <row r="50">
      <c r="A50" s="8" t="inlineStr">
        <is>
          <t>SUB-27</t>
        </is>
      </c>
      <c r="B50" s="8" t="inlineStr">
        <is>
          <t>TEM-113</t>
        </is>
      </c>
    </row>
    <row r="51">
      <c r="A51" s="8" t="inlineStr">
        <is>
          <t>SUB-28</t>
        </is>
      </c>
      <c r="B51" s="8" t="inlineStr">
        <is>
          <t>TEM-133</t>
        </is>
      </c>
    </row>
    <row r="52">
      <c r="A52" s="8" t="inlineStr">
        <is>
          <t>SUB-28</t>
        </is>
      </c>
      <c r="B52" s="8" t="inlineStr">
        <is>
          <t>TEM-132</t>
        </is>
      </c>
    </row>
    <row r="53">
      <c r="A53" s="8" t="inlineStr">
        <is>
          <t>SUB-29</t>
        </is>
      </c>
      <c r="B53" s="8" t="inlineStr">
        <is>
          <t>TEM-048</t>
        </is>
      </c>
    </row>
    <row r="54">
      <c r="A54" s="8" t="inlineStr">
        <is>
          <t>SUB-29</t>
        </is>
      </c>
      <c r="B54" s="8" t="inlineStr">
        <is>
          <t>TEM-047</t>
        </is>
      </c>
    </row>
    <row r="55">
      <c r="A55" s="8" t="inlineStr">
        <is>
          <t>SUB-29</t>
        </is>
      </c>
      <c r="B55" s="8" t="inlineStr">
        <is>
          <t>TEM-045</t>
        </is>
      </c>
    </row>
    <row r="56">
      <c r="A56" s="8" t="inlineStr">
        <is>
          <t>SUB-30</t>
        </is>
      </c>
      <c r="B56" s="8" t="inlineStr">
        <is>
          <t>TEM-015</t>
        </is>
      </c>
    </row>
    <row r="57">
      <c r="A57" s="8" t="inlineStr">
        <is>
          <t>SUB-05</t>
        </is>
      </c>
      <c r="B57" s="8" t="inlineStr">
        <is>
          <t>TEM-053</t>
        </is>
      </c>
    </row>
    <row r="58">
      <c r="A58" s="8" t="inlineStr">
        <is>
          <t>SUB-13</t>
        </is>
      </c>
      <c r="B58" s="8" t="inlineStr">
        <is>
          <t>TEM-104</t>
        </is>
      </c>
    </row>
    <row r="59">
      <c r="A59" s="8" t="inlineStr">
        <is>
          <t>SUB-17</t>
        </is>
      </c>
      <c r="B59" s="8" t="inlineStr">
        <is>
          <t>TEM-113</t>
        </is>
      </c>
    </row>
    <row r="60">
      <c r="A60" s="8" t="inlineStr">
        <is>
          <t>SUB-17</t>
        </is>
      </c>
      <c r="B60" s="8" t="inlineStr">
        <is>
          <t>TEM-091</t>
        </is>
      </c>
    </row>
    <row r="61">
      <c r="A61" s="8" t="inlineStr">
        <is>
          <t>SUB-17</t>
        </is>
      </c>
      <c r="B61" s="8" t="inlineStr">
        <is>
          <t>TEM-092</t>
        </is>
      </c>
    </row>
    <row r="62">
      <c r="A62" s="8" t="inlineStr">
        <is>
          <t>SUB-23</t>
        </is>
      </c>
      <c r="B62" s="8" t="inlineStr">
        <is>
          <t>TEM-002</t>
        </is>
      </c>
    </row>
    <row r="63">
      <c r="A63" s="8" t="inlineStr">
        <is>
          <t>SUB-23</t>
        </is>
      </c>
      <c r="B63" s="8" t="inlineStr">
        <is>
          <t>TEM-001</t>
        </is>
      </c>
    </row>
    <row r="64">
      <c r="A64" s="8" t="inlineStr">
        <is>
          <t>SUB-24</t>
        </is>
      </c>
      <c r="B64" s="8" t="inlineStr">
        <is>
          <t>TEM-002</t>
        </is>
      </c>
    </row>
    <row r="65">
      <c r="A65" s="8" t="inlineStr">
        <is>
          <t>SUB-24</t>
        </is>
      </c>
      <c r="B65" s="8" t="inlineStr">
        <is>
          <t>TEM-059</t>
        </is>
      </c>
    </row>
    <row r="66">
      <c r="A66" s="8" t="inlineStr">
        <is>
          <t>SUB-31</t>
        </is>
      </c>
      <c r="B66" s="8" t="inlineStr">
        <is>
          <t>TEM-043</t>
        </is>
      </c>
    </row>
    <row r="67">
      <c r="A67" s="8" t="inlineStr">
        <is>
          <t>SUB-31</t>
        </is>
      </c>
      <c r="B67" s="8" t="inlineStr">
        <is>
          <t>TEM-044</t>
        </is>
      </c>
    </row>
    <row r="68">
      <c r="A68" s="8" t="inlineStr">
        <is>
          <t>SUB-32</t>
        </is>
      </c>
      <c r="B68" s="8" t="inlineStr">
        <is>
          <t>TEM-049</t>
        </is>
      </c>
    </row>
    <row r="69">
      <c r="A69" s="8" t="inlineStr">
        <is>
          <t>SUB-32</t>
        </is>
      </c>
      <c r="B69" s="8" t="inlineStr">
        <is>
          <t>TEM-053</t>
        </is>
      </c>
    </row>
    <row r="70">
      <c r="A70" s="8" t="inlineStr">
        <is>
          <t>SUB-32</t>
        </is>
      </c>
      <c r="B70" s="8" t="inlineStr">
        <is>
          <t>TEM-052</t>
        </is>
      </c>
    </row>
    <row r="71">
      <c r="A71" s="8" t="inlineStr">
        <is>
          <t>SUB-32</t>
        </is>
      </c>
      <c r="B71" s="8" t="inlineStr">
        <is>
          <t>TEM-051</t>
        </is>
      </c>
    </row>
    <row r="72">
      <c r="A72" s="8" t="inlineStr">
        <is>
          <t>SUB-32</t>
        </is>
      </c>
      <c r="B72" s="8" t="inlineStr">
        <is>
          <t>TEM-131</t>
        </is>
      </c>
    </row>
    <row r="73">
      <c r="A73" s="8" t="inlineStr">
        <is>
          <t>SUB-33</t>
        </is>
      </c>
      <c r="B73" s="8" t="inlineStr">
        <is>
          <t>TEM-036</t>
        </is>
      </c>
    </row>
    <row r="74">
      <c r="A74" s="8" t="inlineStr">
        <is>
          <t>SUB-33</t>
        </is>
      </c>
      <c r="B74" s="8" t="inlineStr">
        <is>
          <t>TEM-039</t>
        </is>
      </c>
    </row>
    <row r="75">
      <c r="A75" s="8" t="inlineStr">
        <is>
          <t>SUB-33</t>
        </is>
      </c>
      <c r="B75" s="8" t="inlineStr">
        <is>
          <t>TEM-041</t>
        </is>
      </c>
    </row>
    <row r="76">
      <c r="A76" s="8" t="inlineStr">
        <is>
          <t>SUB-33</t>
        </is>
      </c>
      <c r="B76" s="8" t="inlineStr">
        <is>
          <t>TEM-042</t>
        </is>
      </c>
    </row>
    <row r="77">
      <c r="A77" s="8" t="inlineStr">
        <is>
          <t>SUB-33</t>
        </is>
      </c>
      <c r="B77" s="8" t="inlineStr">
        <is>
          <t>TEM-038</t>
        </is>
      </c>
    </row>
    <row r="78">
      <c r="A78" s="8" t="inlineStr">
        <is>
          <t>SUB-33</t>
        </is>
      </c>
      <c r="B78" s="8" t="inlineStr">
        <is>
          <t>TEM-040</t>
        </is>
      </c>
    </row>
    <row r="79">
      <c r="A79" s="8" t="inlineStr">
        <is>
          <t>SUB-33</t>
        </is>
      </c>
      <c r="B79" s="8" t="inlineStr">
        <is>
          <t>TEM-028</t>
        </is>
      </c>
    </row>
    <row r="80">
      <c r="A80" s="8" t="inlineStr">
        <is>
          <t>SUB-33</t>
        </is>
      </c>
      <c r="B80" s="8" t="inlineStr">
        <is>
          <t>TEM-030</t>
        </is>
      </c>
    </row>
    <row r="81">
      <c r="A81" s="8" t="inlineStr">
        <is>
          <t>SUB-33</t>
        </is>
      </c>
      <c r="B81" s="8" t="inlineStr">
        <is>
          <t>TEM-016</t>
        </is>
      </c>
    </row>
    <row r="82">
      <c r="A82" s="8" t="inlineStr">
        <is>
          <t>SUB-33</t>
        </is>
      </c>
      <c r="B82" s="8" t="inlineStr">
        <is>
          <t>TEM-018</t>
        </is>
      </c>
    </row>
    <row r="83">
      <c r="A83" s="8" t="inlineStr">
        <is>
          <t>SUB-34</t>
        </is>
      </c>
      <c r="B83" s="8" t="inlineStr">
        <is>
          <t>TEM-021</t>
        </is>
      </c>
    </row>
    <row r="84">
      <c r="A84" s="8" t="inlineStr">
        <is>
          <t>SUB-34</t>
        </is>
      </c>
      <c r="B84" s="8" t="inlineStr">
        <is>
          <t>TEM-022</t>
        </is>
      </c>
    </row>
    <row r="85">
      <c r="A85" s="8" t="inlineStr">
        <is>
          <t>SUB-34</t>
        </is>
      </c>
      <c r="B85" s="8" t="inlineStr">
        <is>
          <t>TEM-023</t>
        </is>
      </c>
    </row>
    <row r="86">
      <c r="A86" s="8" t="inlineStr">
        <is>
          <t>SUB-34</t>
        </is>
      </c>
      <c r="B86" s="8" t="inlineStr">
        <is>
          <t>TEM-025</t>
        </is>
      </c>
    </row>
    <row r="87">
      <c r="A87" s="8" t="inlineStr">
        <is>
          <t>SUB-34</t>
        </is>
      </c>
      <c r="B87" s="8" t="inlineStr">
        <is>
          <t>TEM-024</t>
        </is>
      </c>
    </row>
    <row r="88">
      <c r="A88" s="8" t="inlineStr">
        <is>
          <t>SUB-35</t>
        </is>
      </c>
      <c r="B88" s="8" t="inlineStr">
        <is>
          <t>TEM-026</t>
        </is>
      </c>
    </row>
    <row r="89">
      <c r="A89" s="8" t="inlineStr">
        <is>
          <t>SUB-35</t>
        </is>
      </c>
      <c r="B89" s="8" t="inlineStr">
        <is>
          <t>TEM-027</t>
        </is>
      </c>
    </row>
    <row r="90">
      <c r="A90" s="8" t="inlineStr">
        <is>
          <t>SUB-35</t>
        </is>
      </c>
      <c r="B90" s="8" t="inlineStr">
        <is>
          <t>TEM-031</t>
        </is>
      </c>
    </row>
    <row r="91">
      <c r="A91" s="8" t="inlineStr">
        <is>
          <t>SUB-35</t>
        </is>
      </c>
      <c r="B91" s="8" t="inlineStr">
        <is>
          <t>TEM-032</t>
        </is>
      </c>
    </row>
    <row r="92">
      <c r="A92" s="8" t="inlineStr">
        <is>
          <t>SUB-35</t>
        </is>
      </c>
      <c r="B92" s="8" t="inlineStr">
        <is>
          <t>TEM-033</t>
        </is>
      </c>
    </row>
    <row r="93">
      <c r="A93" s="8" t="inlineStr">
        <is>
          <t>SUB-35</t>
        </is>
      </c>
      <c r="B93" s="8" t="inlineStr">
        <is>
          <t>TEM-029</t>
        </is>
      </c>
    </row>
    <row r="94">
      <c r="A94" s="8" t="inlineStr">
        <is>
          <t>SUB-36</t>
        </is>
      </c>
      <c r="B94" s="8" t="inlineStr">
        <is>
          <t>TEM-014</t>
        </is>
      </c>
    </row>
    <row r="95">
      <c r="A95" s="8" t="inlineStr">
        <is>
          <t>SUB-36</t>
        </is>
      </c>
      <c r="B95" s="8" t="inlineStr">
        <is>
          <t>TEM-017</t>
        </is>
      </c>
    </row>
    <row r="96">
      <c r="A96" s="8" t="inlineStr">
        <is>
          <t>SUB-36</t>
        </is>
      </c>
      <c r="B96" s="8" t="inlineStr">
        <is>
          <t>TEM-019</t>
        </is>
      </c>
    </row>
    <row r="97">
      <c r="A97" s="8" t="inlineStr">
        <is>
          <t>SUB-36</t>
        </is>
      </c>
      <c r="B97" s="8" t="inlineStr">
        <is>
          <t>TEM-020</t>
        </is>
      </c>
    </row>
    <row r="98">
      <c r="A98" s="8" t="inlineStr">
        <is>
          <t>SUB-36</t>
        </is>
      </c>
      <c r="B98" s="8" t="inlineStr">
        <is>
          <t>TEM-130</t>
        </is>
      </c>
    </row>
    <row r="99">
      <c r="A99" s="8" t="inlineStr">
        <is>
          <t>SUB-37</t>
        </is>
      </c>
      <c r="B99" s="8" t="inlineStr">
        <is>
          <t>TEM-132</t>
        </is>
      </c>
    </row>
    <row r="100">
      <c r="A100" s="8" t="inlineStr">
        <is>
          <t>SUB-37</t>
        </is>
      </c>
      <c r="B100" s="8" t="inlineStr">
        <is>
          <t>TEM-136</t>
        </is>
      </c>
    </row>
    <row r="101">
      <c r="A101" s="8" t="inlineStr">
        <is>
          <t>SUB-37</t>
        </is>
      </c>
      <c r="B101" s="8" t="inlineStr">
        <is>
          <t>TEM-138</t>
        </is>
      </c>
    </row>
    <row r="102">
      <c r="A102" s="8" t="inlineStr">
        <is>
          <t>SUB-37</t>
        </is>
      </c>
      <c r="B102" s="8" t="inlineStr">
        <is>
          <t>TEM-140</t>
        </is>
      </c>
    </row>
    <row r="103">
      <c r="A103" s="8" t="inlineStr">
        <is>
          <t>SUB-38</t>
        </is>
      </c>
      <c r="B103" s="8" t="inlineStr">
        <is>
          <t>TEM-135</t>
        </is>
      </c>
    </row>
    <row r="104">
      <c r="A104" s="8" t="inlineStr">
        <is>
          <t>SUB-38</t>
        </is>
      </c>
      <c r="B104" s="8" t="inlineStr">
        <is>
          <t>TEM-134</t>
        </is>
      </c>
    </row>
    <row r="105">
      <c r="A105" s="8" t="inlineStr">
        <is>
          <t>SUB-39</t>
        </is>
      </c>
      <c r="B105" s="8" t="inlineStr">
        <is>
          <t>TEM-083</t>
        </is>
      </c>
    </row>
    <row r="106">
      <c r="A106" s="8" t="inlineStr">
        <is>
          <t>SUB-39</t>
        </is>
      </c>
      <c r="B106" s="8" t="inlineStr">
        <is>
          <t>TEM-084</t>
        </is>
      </c>
    </row>
    <row r="107">
      <c r="A107" s="8" t="inlineStr">
        <is>
          <t>SUB-39</t>
        </is>
      </c>
      <c r="B107" s="8" t="inlineStr">
        <is>
          <t>TEM-085</t>
        </is>
      </c>
    </row>
    <row r="108">
      <c r="A108" s="8" t="inlineStr">
        <is>
          <t>SUB-40</t>
        </is>
      </c>
      <c r="B108" s="8" t="inlineStr">
        <is>
          <t>TEM-079</t>
        </is>
      </c>
    </row>
    <row r="109">
      <c r="A109" s="8" t="inlineStr">
        <is>
          <t>SUB-40</t>
        </is>
      </c>
      <c r="B109" s="8" t="inlineStr">
        <is>
          <t>TEM-080</t>
        </is>
      </c>
    </row>
    <row r="110">
      <c r="A110" s="8" t="inlineStr">
        <is>
          <t>SUB-40</t>
        </is>
      </c>
      <c r="B110" s="8" t="inlineStr">
        <is>
          <t>TEM-081</t>
        </is>
      </c>
    </row>
    <row r="111">
      <c r="A111" s="8" t="inlineStr">
        <is>
          <t>SUB-40</t>
        </is>
      </c>
      <c r="B111" s="8" t="inlineStr">
        <is>
          <t>TEM-082</t>
        </is>
      </c>
    </row>
    <row r="112">
      <c r="A112" s="8" t="inlineStr">
        <is>
          <t>SUB-40</t>
        </is>
      </c>
      <c r="B112" s="8" t="inlineStr">
        <is>
          <t>TEM-078</t>
        </is>
      </c>
    </row>
    <row r="113">
      <c r="A113" s="8" t="inlineStr">
        <is>
          <t>SUB-41</t>
        </is>
      </c>
      <c r="B113" s="8" t="inlineStr">
        <is>
          <t>TEM-086</t>
        </is>
      </c>
    </row>
    <row r="114">
      <c r="A114" s="8" t="inlineStr">
        <is>
          <t>SUB-41</t>
        </is>
      </c>
      <c r="B114" s="8" t="inlineStr">
        <is>
          <t>TEM-087</t>
        </is>
      </c>
    </row>
    <row r="115">
      <c r="A115" s="8" t="inlineStr">
        <is>
          <t>SUB-41</t>
        </is>
      </c>
      <c r="B115" s="8" t="inlineStr">
        <is>
          <t>TEM-088</t>
        </is>
      </c>
    </row>
    <row r="116">
      <c r="A116" s="8" t="inlineStr">
        <is>
          <t>SUB-41</t>
        </is>
      </c>
      <c r="B116" s="8" t="inlineStr">
        <is>
          <t>TEM-094</t>
        </is>
      </c>
    </row>
    <row r="117">
      <c r="A117" s="8" t="inlineStr">
        <is>
          <t>SUB-41</t>
        </is>
      </c>
      <c r="B117" s="8" t="inlineStr">
        <is>
          <t>TEM-089</t>
        </is>
      </c>
    </row>
    <row r="118">
      <c r="A118" s="8" t="inlineStr">
        <is>
          <t>SUB-42</t>
        </is>
      </c>
      <c r="B118" s="8" t="inlineStr">
        <is>
          <t>TEM-073</t>
        </is>
      </c>
    </row>
    <row r="119">
      <c r="A119" s="8" t="inlineStr">
        <is>
          <t>SUB-42</t>
        </is>
      </c>
      <c r="B119" s="8" t="inlineStr">
        <is>
          <t>TEM-074</t>
        </is>
      </c>
    </row>
    <row r="120">
      <c r="A120" s="8" t="inlineStr">
        <is>
          <t>SUB-43</t>
        </is>
      </c>
      <c r="B120" s="8" t="inlineStr">
        <is>
          <t>TEM-069</t>
        </is>
      </c>
    </row>
    <row r="121">
      <c r="A121" s="8" t="inlineStr">
        <is>
          <t>SUB-43</t>
        </is>
      </c>
      <c r="B121" s="8" t="inlineStr">
        <is>
          <t>TEM-097</t>
        </is>
      </c>
    </row>
    <row r="122">
      <c r="A122" s="8" t="inlineStr">
        <is>
          <t>SUB-43</t>
        </is>
      </c>
      <c r="B122" s="8" t="inlineStr">
        <is>
          <t>TEM-117</t>
        </is>
      </c>
    </row>
    <row r="123">
      <c r="A123" s="8" t="inlineStr">
        <is>
          <t>SUB-43</t>
        </is>
      </c>
      <c r="B123" s="8" t="inlineStr">
        <is>
          <t>TEM-118</t>
        </is>
      </c>
    </row>
    <row r="124">
      <c r="A124" s="8" t="inlineStr">
        <is>
          <t>SUB-43</t>
        </is>
      </c>
      <c r="B124" s="8" t="inlineStr">
        <is>
          <t>TEM-123</t>
        </is>
      </c>
    </row>
    <row r="125">
      <c r="A125" s="8" t="inlineStr">
        <is>
          <t>SUB-43</t>
        </is>
      </c>
      <c r="B125" s="8" t="inlineStr">
        <is>
          <t>TEM-124</t>
        </is>
      </c>
    </row>
    <row r="126">
      <c r="A126" s="8" t="inlineStr">
        <is>
          <t>SUB-43</t>
        </is>
      </c>
      <c r="B126" s="8" t="inlineStr">
        <is>
          <t>TEM-129</t>
        </is>
      </c>
    </row>
    <row r="127">
      <c r="A127" s="8" t="inlineStr">
        <is>
          <t>SUB-44</t>
        </is>
      </c>
      <c r="B127" s="8" t="inlineStr">
        <is>
          <t>TEM-063</t>
        </is>
      </c>
    </row>
    <row r="128">
      <c r="A128" s="8" t="inlineStr">
        <is>
          <t>SUB-44</t>
        </is>
      </c>
      <c r="B128" s="8" t="inlineStr">
        <is>
          <t>TEM-066</t>
        </is>
      </c>
    </row>
    <row r="129">
      <c r="A129" s="8" t="inlineStr">
        <is>
          <t>SUB-44</t>
        </is>
      </c>
      <c r="B129" s="8" t="inlineStr">
        <is>
          <t>TEM-067</t>
        </is>
      </c>
    </row>
    <row r="130">
      <c r="A130" s="8" t="inlineStr">
        <is>
          <t>SUB-45</t>
        </is>
      </c>
      <c r="B130" s="8" t="inlineStr">
        <is>
          <t>TEM-011</t>
        </is>
      </c>
    </row>
    <row r="131">
      <c r="A131" s="8" t="inlineStr">
        <is>
          <t>SUB-46</t>
        </is>
      </c>
      <c r="B131" s="8" t="inlineStr">
        <is>
          <t>TEM-108</t>
        </is>
      </c>
    </row>
    <row r="132">
      <c r="A132" s="8" t="inlineStr">
        <is>
          <t>SUB-46</t>
        </is>
      </c>
      <c r="B132" s="8" t="inlineStr">
        <is>
          <t>TEM-109</t>
        </is>
      </c>
    </row>
    <row r="133">
      <c r="A133" s="8" t="inlineStr">
        <is>
          <t>SUB-46</t>
        </is>
      </c>
      <c r="B133" s="8" t="inlineStr">
        <is>
          <t>TEM-128</t>
        </is>
      </c>
    </row>
    <row r="134">
      <c r="A134" s="8" t="inlineStr">
        <is>
          <t>SUB-46</t>
        </is>
      </c>
      <c r="B134" s="8" t="inlineStr">
        <is>
          <t>TEM-127</t>
        </is>
      </c>
    </row>
    <row r="135">
      <c r="A135" s="8" t="inlineStr">
        <is>
          <t>SUB-46</t>
        </is>
      </c>
      <c r="B135" s="8" t="inlineStr">
        <is>
          <t>TEM-126</t>
        </is>
      </c>
    </row>
    <row r="136">
      <c r="A136" s="8" t="inlineStr">
        <is>
          <t>SUB-47</t>
        </is>
      </c>
      <c r="B136" s="8" t="inlineStr">
        <is>
          <t>TEM-090</t>
        </is>
      </c>
    </row>
    <row r="137">
      <c r="A137" s="8" t="inlineStr">
        <is>
          <t>SUB-47</t>
        </is>
      </c>
      <c r="B137" s="8" t="inlineStr">
        <is>
          <t>TEM-110</t>
        </is>
      </c>
    </row>
    <row r="138">
      <c r="A138" s="8" t="inlineStr">
        <is>
          <t>SUB-47</t>
        </is>
      </c>
      <c r="B138" s="8" t="inlineStr">
        <is>
          <t>TEM-111</t>
        </is>
      </c>
    </row>
    <row r="139">
      <c r="A139" s="8" t="inlineStr">
        <is>
          <t>SUB-47</t>
        </is>
      </c>
      <c r="B139" s="8" t="inlineStr">
        <is>
          <t>TEM-114</t>
        </is>
      </c>
    </row>
    <row r="140">
      <c r="A140" s="8" t="inlineStr">
        <is>
          <t>SUB-47</t>
        </is>
      </c>
      <c r="B140" s="8" t="inlineStr">
        <is>
          <t>TEM-115</t>
        </is>
      </c>
    </row>
    <row r="141">
      <c r="A141" s="8" t="inlineStr">
        <is>
          <t>SUB-47</t>
        </is>
      </c>
      <c r="B141" s="8" t="inlineStr">
        <is>
          <t>TEM-035</t>
        </is>
      </c>
    </row>
    <row r="142">
      <c r="A142" s="8" t="inlineStr">
        <is>
          <t>SUB-48</t>
        </is>
      </c>
      <c r="B142" s="8" t="inlineStr">
        <is>
          <t>TEM-101</t>
        </is>
      </c>
    </row>
    <row r="143">
      <c r="A143" s="8" t="inlineStr">
        <is>
          <t>SUB-49</t>
        </is>
      </c>
      <c r="B143" s="8" t="inlineStr">
        <is>
          <t>TEM-102</t>
        </is>
      </c>
    </row>
    <row r="144">
      <c r="A144" s="8" t="inlineStr">
        <is>
          <t>SUB-49</t>
        </is>
      </c>
      <c r="B144" s="8" t="inlineStr">
        <is>
          <t>TEM-103</t>
        </is>
      </c>
    </row>
    <row r="145">
      <c r="A145" s="8" t="inlineStr">
        <is>
          <t>SUB-49</t>
        </is>
      </c>
      <c r="B145" s="8" t="inlineStr">
        <is>
          <t>TEM-105</t>
        </is>
      </c>
    </row>
    <row r="146">
      <c r="A146" s="8" t="inlineStr">
        <is>
          <t>SUB-49</t>
        </is>
      </c>
      <c r="B146" s="8" t="inlineStr">
        <is>
          <t>TEM-106</t>
        </is>
      </c>
    </row>
    <row r="147">
      <c r="A147" s="8" t="inlineStr">
        <is>
          <t>SUB-50</t>
        </is>
      </c>
      <c r="B147" s="8" t="inlineStr">
        <is>
          <t>TEM-054</t>
        </is>
      </c>
    </row>
    <row r="148">
      <c r="A148" s="8" t="inlineStr">
        <is>
          <t>SUB-50</t>
        </is>
      </c>
      <c r="B148" s="8" t="inlineStr">
        <is>
          <t>TEM-055</t>
        </is>
      </c>
    </row>
    <row r="149">
      <c r="A149" s="8" t="inlineStr">
        <is>
          <t>SUB-50</t>
        </is>
      </c>
      <c r="B149" s="8" t="inlineStr">
        <is>
          <t>TEM-121</t>
        </is>
      </c>
    </row>
    <row r="150">
      <c r="A150" s="8" t="inlineStr">
        <is>
          <t>SUB-50</t>
        </is>
      </c>
      <c r="B150" s="8" t="inlineStr">
        <is>
          <t>TEM-122</t>
        </is>
      </c>
    </row>
    <row r="151">
      <c r="A151" s="8" t="inlineStr">
        <is>
          <t>SUB-51</t>
        </is>
      </c>
      <c r="B151" s="8" t="inlineStr">
        <is>
          <t>TEM-116</t>
        </is>
      </c>
    </row>
    <row r="152">
      <c r="A152" s="8" t="inlineStr">
        <is>
          <t>SUB-51</t>
        </is>
      </c>
      <c r="B152" s="8" t="inlineStr">
        <is>
          <t>TEM-119</t>
        </is>
      </c>
    </row>
    <row r="153">
      <c r="A153" s="8" t="inlineStr">
        <is>
          <t>SUB-52</t>
        </is>
      </c>
      <c r="B153" s="8" t="inlineStr">
        <is>
          <t>TEM-004</t>
        </is>
      </c>
    </row>
    <row r="154">
      <c r="A154" s="8" t="inlineStr">
        <is>
          <t>SUB-52</t>
        </is>
      </c>
      <c r="B154" s="8" t="inlineStr">
        <is>
          <t>TEM-003</t>
        </is>
      </c>
    </row>
    <row r="155">
      <c r="A155" s="8" t="inlineStr">
        <is>
          <t>SUB-52</t>
        </is>
      </c>
      <c r="B155" s="8" t="inlineStr">
        <is>
          <t>TEM-099</t>
        </is>
      </c>
    </row>
    <row r="156">
      <c r="A156" s="8" t="inlineStr">
        <is>
          <t>SUB-52</t>
        </is>
      </c>
      <c r="B156" s="8" t="inlineStr">
        <is>
          <t>TEM-057</t>
        </is>
      </c>
    </row>
    <row r="157">
      <c r="A157" s="8" t="inlineStr">
        <is>
          <t>SUB-53</t>
        </is>
      </c>
      <c r="B157" s="8" t="inlineStr">
        <is>
          <t>TEM-071</t>
        </is>
      </c>
    </row>
    <row r="158">
      <c r="A158" s="8" t="inlineStr">
        <is>
          <t>SUB-53</t>
        </is>
      </c>
      <c r="B158" s="8" t="inlineStr">
        <is>
          <t>TEM-072</t>
        </is>
      </c>
    </row>
  </sheetData>
  <mergeCells count="2">
    <mergeCell ref="A2:B2"/>
    <mergeCell ref="A1:B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0"/>
  <sheetViews>
    <sheetView workbookViewId="0">
      <pane ySplit="4" topLeftCell="A5" activePane="bottomLeft" state="frozen"/>
      <selection pane="bottomLeft" activeCell="A1" sqref="A1"/>
    </sheetView>
  </sheetViews>
  <sheetFormatPr baseColWidth="8" defaultRowHeight="15"/>
  <cols>
    <col width="14" customWidth="1" min="1" max="1"/>
    <col width="14" customWidth="1" min="2" max="2"/>
  </cols>
  <sheetData>
    <row r="1">
      <c r="A1" s="6" t="inlineStr">
        <is>
          <t>10 · Laboratorio ↔ Línea (m:n)</t>
        </is>
      </c>
    </row>
    <row r="2">
      <c r="A2" s="2" t="inlineStr">
        <is>
          <t>Un Lab sostiene una o varias Líneas. BORRADOR.</t>
        </is>
      </c>
    </row>
    <row r="4">
      <c r="A4" s="7" t="inlineStr">
        <is>
          <t>lab_id</t>
        </is>
      </c>
      <c r="B4" s="7" t="inlineStr">
        <is>
          <t>linea_id</t>
        </is>
      </c>
    </row>
    <row r="5">
      <c r="A5" s="8" t="inlineStr">
        <is>
          <t>LAB-NAI</t>
        </is>
      </c>
      <c r="B5" s="8" t="inlineStr">
        <is>
          <t>LIN-01</t>
        </is>
      </c>
    </row>
    <row r="6">
      <c r="A6" s="8" t="inlineStr">
        <is>
          <t>LAB-AFL</t>
        </is>
      </c>
      <c r="B6" s="8" t="inlineStr">
        <is>
          <t>LIN-01</t>
        </is>
      </c>
    </row>
    <row r="7">
      <c r="A7" s="8" t="inlineStr">
        <is>
          <t>LAB-AFL</t>
        </is>
      </c>
      <c r="B7" s="8" t="inlineStr">
        <is>
          <t>LIN-04</t>
        </is>
      </c>
    </row>
    <row r="8">
      <c r="A8" s="8" t="inlineStr">
        <is>
          <t>LAB-PYT</t>
        </is>
      </c>
      <c r="B8" s="8" t="inlineStr">
        <is>
          <t>LIN-02</t>
        </is>
      </c>
    </row>
    <row r="9">
      <c r="A9" s="8" t="inlineStr">
        <is>
          <t>LAB-UAF</t>
        </is>
      </c>
      <c r="B9" s="8" t="inlineStr">
        <is>
          <t>LIN-02</t>
        </is>
      </c>
    </row>
    <row r="10">
      <c r="A10" s="8" t="inlineStr">
        <is>
          <t>LAB-PMD</t>
        </is>
      </c>
      <c r="B10" s="8" t="inlineStr">
        <is>
          <t>LIN-03</t>
        </is>
      </c>
    </row>
  </sheetData>
  <mergeCells count="2">
    <mergeCell ref="A2:B2"/>
    <mergeCell ref="A1:B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pane ySplit="4" topLeftCell="A5" activePane="bottomLeft" state="frozen"/>
      <selection pane="bottomLeft" activeCell="A1" sqref="A1"/>
    </sheetView>
  </sheetViews>
  <sheetFormatPr baseColWidth="8" defaultRowHeight="15"/>
  <cols>
    <col width="14" customWidth="1" min="1" max="1"/>
    <col width="14" customWidth="1" min="2" max="2"/>
  </cols>
  <sheetData>
    <row r="1">
      <c r="A1" s="6" t="inlineStr">
        <is>
          <t>11 · Laboratorio ↔ Salida (m:n)</t>
        </is>
      </c>
    </row>
    <row r="2">
      <c r="A2" s="2" t="inlineStr">
        <is>
          <t>Los Labs operacionalizan las Salidas. BORRADOR.</t>
        </is>
      </c>
    </row>
    <row r="4">
      <c r="A4" s="7" t="inlineStr">
        <is>
          <t>lab_id</t>
        </is>
      </c>
      <c r="B4" s="7" t="inlineStr">
        <is>
          <t>salida_id</t>
        </is>
      </c>
    </row>
    <row r="5">
      <c r="A5" s="8" t="inlineStr">
        <is>
          <t>LAB-NAI</t>
        </is>
      </c>
      <c r="B5" s="8" t="inlineStr">
        <is>
          <t>SAL-EST</t>
        </is>
      </c>
    </row>
    <row r="6">
      <c r="A6" s="8" t="inlineStr">
        <is>
          <t>LAB-NAI</t>
        </is>
      </c>
      <c r="B6" s="8" t="inlineStr">
        <is>
          <t>SAL-ACA</t>
        </is>
      </c>
    </row>
    <row r="7">
      <c r="A7" s="8" t="inlineStr">
        <is>
          <t>LAB-AFL</t>
        </is>
      </c>
      <c r="B7" s="8" t="inlineStr">
        <is>
          <t>SAL-IND</t>
        </is>
      </c>
    </row>
    <row r="8">
      <c r="A8" s="8" t="inlineStr">
        <is>
          <t>LAB-AFL</t>
        </is>
      </c>
      <c r="B8" s="8" t="inlineStr">
        <is>
          <t>SAL-ACA</t>
        </is>
      </c>
    </row>
    <row r="9">
      <c r="A9" s="8" t="inlineStr">
        <is>
          <t>LAB-PYT</t>
        </is>
      </c>
      <c r="B9" s="8" t="inlineStr">
        <is>
          <t>SAL-EST</t>
        </is>
      </c>
    </row>
    <row r="10">
      <c r="A10" s="8" t="inlineStr">
        <is>
          <t>LAB-PYT</t>
        </is>
      </c>
      <c r="B10" s="8" t="inlineStr">
        <is>
          <t>SAL-ACA</t>
        </is>
      </c>
    </row>
    <row r="11">
      <c r="A11" s="8" t="inlineStr">
        <is>
          <t>LAB-PMD</t>
        </is>
      </c>
      <c r="B11" s="8" t="inlineStr">
        <is>
          <t>SAL-ACA</t>
        </is>
      </c>
    </row>
    <row r="12">
      <c r="A12" s="8" t="inlineStr">
        <is>
          <t>LAB-UAF</t>
        </is>
      </c>
      <c r="B12" s="8" t="inlineStr">
        <is>
          <t>SAL-EST</t>
        </is>
      </c>
    </row>
    <row r="13">
      <c r="A13" s="8" t="inlineStr">
        <is>
          <t>LAB-UAF</t>
        </is>
      </c>
      <c r="B13" s="8" t="inlineStr">
        <is>
          <t>SAL-ACA</t>
        </is>
      </c>
    </row>
  </sheetData>
  <mergeCells count="2">
    <mergeCell ref="A2:B2"/>
    <mergeCell ref="A1:B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34"/>
  <sheetViews>
    <sheetView workbookViewId="0">
      <pane ySplit="4" topLeftCell="A5" activePane="bottomLeft" state="frozen"/>
      <selection pane="bottomLeft" activeCell="A1" sqref="A1"/>
    </sheetView>
  </sheetViews>
  <sheetFormatPr baseColWidth="8" defaultRowHeight="15"/>
  <cols>
    <col width="18" customWidth="1" min="1" max="1"/>
    <col width="14" customWidth="1" min="2" max="2"/>
  </cols>
  <sheetData>
    <row r="1">
      <c r="A1" s="6" t="inlineStr">
        <is>
          <t>12 · Investigador ↔ Laboratorio (m:n)</t>
        </is>
      </c>
    </row>
    <row r="2">
      <c r="A2" s="2" t="inlineStr">
        <is>
          <t>Lectura desde el material. BORRADOR — algunos investigadores podrían estar en más laboratorios de los registrados aquí.</t>
        </is>
      </c>
    </row>
    <row r="4">
      <c r="A4" s="7" t="inlineStr">
        <is>
          <t>investigador_id</t>
        </is>
      </c>
      <c r="B4" s="7" t="inlineStr">
        <is>
          <t>lab_id</t>
        </is>
      </c>
    </row>
    <row r="5">
      <c r="A5" s="8" t="inlineStr">
        <is>
          <t>INV-01</t>
        </is>
      </c>
      <c r="B5" s="8" t="inlineStr">
        <is>
          <t>LAB-PMD</t>
        </is>
      </c>
    </row>
    <row r="6">
      <c r="A6" s="8" t="inlineStr">
        <is>
          <t>INV-02</t>
        </is>
      </c>
      <c r="B6" s="8" t="inlineStr">
        <is>
          <t>LAB-NAI</t>
        </is>
      </c>
    </row>
    <row r="7">
      <c r="A7" s="8" t="inlineStr">
        <is>
          <t>INV-02</t>
        </is>
      </c>
      <c r="B7" s="8" t="inlineStr">
        <is>
          <t>LAB-AFL</t>
        </is>
      </c>
    </row>
    <row r="8">
      <c r="A8" s="8" t="inlineStr">
        <is>
          <t>INV-03</t>
        </is>
      </c>
      <c r="B8" s="8" t="inlineStr">
        <is>
          <t>LAB-PYT</t>
        </is>
      </c>
    </row>
    <row r="9">
      <c r="A9" s="8" t="inlineStr">
        <is>
          <t>INV-03</t>
        </is>
      </c>
      <c r="B9" s="8" t="inlineStr">
        <is>
          <t>LAB-PMD</t>
        </is>
      </c>
    </row>
    <row r="10">
      <c r="A10" s="8" t="inlineStr">
        <is>
          <t>INV-04</t>
        </is>
      </c>
      <c r="B10" s="8" t="inlineStr">
        <is>
          <t>LAB-UAF</t>
        </is>
      </c>
    </row>
    <row r="11">
      <c r="A11" s="8" t="inlineStr">
        <is>
          <t>INV-04</t>
        </is>
      </c>
      <c r="B11" s="8" t="inlineStr">
        <is>
          <t>LAB-PYT</t>
        </is>
      </c>
    </row>
    <row r="12">
      <c r="A12" s="8" t="inlineStr">
        <is>
          <t>INV-05</t>
        </is>
      </c>
      <c r="B12" s="8" t="inlineStr">
        <is>
          <t>LAB-PYT</t>
        </is>
      </c>
    </row>
    <row r="13">
      <c r="A13" s="8" t="inlineStr">
        <is>
          <t>INV-06</t>
        </is>
      </c>
      <c r="B13" s="8" t="inlineStr">
        <is>
          <t>LAB-PYT</t>
        </is>
      </c>
    </row>
    <row r="14">
      <c r="A14" s="8" t="inlineStr">
        <is>
          <t>INV-06</t>
        </is>
      </c>
      <c r="B14" s="8" t="inlineStr">
        <is>
          <t>LAB-UAF</t>
        </is>
      </c>
    </row>
    <row r="15">
      <c r="A15" s="8" t="inlineStr">
        <is>
          <t>INV-07</t>
        </is>
      </c>
      <c r="B15" s="8" t="inlineStr">
        <is>
          <t>LAB-PYT</t>
        </is>
      </c>
    </row>
    <row r="16">
      <c r="A16" s="8" t="inlineStr">
        <is>
          <t>INV-08</t>
        </is>
      </c>
      <c r="B16" s="8" t="inlineStr">
        <is>
          <t>LAB-UAF</t>
        </is>
      </c>
    </row>
    <row r="17">
      <c r="A17" s="8" t="inlineStr">
        <is>
          <t>INV-08</t>
        </is>
      </c>
      <c r="B17" s="8" t="inlineStr">
        <is>
          <t>LAB-PYT</t>
        </is>
      </c>
    </row>
    <row r="18">
      <c r="A18" s="8" t="inlineStr">
        <is>
          <t>INV-09</t>
        </is>
      </c>
      <c r="B18" s="8" t="inlineStr">
        <is>
          <t>LAB-PMD</t>
        </is>
      </c>
    </row>
    <row r="19">
      <c r="A19" s="8" t="inlineStr">
        <is>
          <t>INV-10</t>
        </is>
      </c>
      <c r="B19" s="8" t="inlineStr">
        <is>
          <t>LAB-NAI</t>
        </is>
      </c>
    </row>
    <row r="20">
      <c r="A20" s="8" t="inlineStr">
        <is>
          <t>INV-11</t>
        </is>
      </c>
      <c r="B20" s="8" t="inlineStr">
        <is>
          <t>LAB-NAI</t>
        </is>
      </c>
    </row>
    <row r="21">
      <c r="A21" s="8" t="inlineStr">
        <is>
          <t>INV-11</t>
        </is>
      </c>
      <c r="B21" s="8" t="inlineStr">
        <is>
          <t>LAB-PYT</t>
        </is>
      </c>
    </row>
    <row r="22">
      <c r="A22" s="8" t="inlineStr">
        <is>
          <t>INV-12</t>
        </is>
      </c>
      <c r="B22" s="8" t="inlineStr">
        <is>
          <t>LAB-NAI</t>
        </is>
      </c>
    </row>
    <row r="23">
      <c r="A23" s="8" t="inlineStr">
        <is>
          <t>INV-12</t>
        </is>
      </c>
      <c r="B23" s="8" t="inlineStr">
        <is>
          <t>LAB-AFL</t>
        </is>
      </c>
    </row>
    <row r="24">
      <c r="A24" s="8" t="inlineStr">
        <is>
          <t>INV-13</t>
        </is>
      </c>
      <c r="B24" s="8" t="inlineStr">
        <is>
          <t>LAB-UAF</t>
        </is>
      </c>
    </row>
    <row r="25">
      <c r="A25" s="8" t="inlineStr">
        <is>
          <t>INV-14</t>
        </is>
      </c>
      <c r="B25" s="8" t="inlineStr">
        <is>
          <t>LAB-PYT</t>
        </is>
      </c>
    </row>
    <row r="26">
      <c r="A26" s="8" t="inlineStr">
        <is>
          <t>INV-15</t>
        </is>
      </c>
      <c r="B26" s="8" t="inlineStr">
        <is>
          <t>LAB-AFL</t>
        </is>
      </c>
    </row>
    <row r="27">
      <c r="A27" s="8" t="inlineStr">
        <is>
          <t>INV-16</t>
        </is>
      </c>
      <c r="B27" s="8" t="inlineStr">
        <is>
          <t>LAB-PMD</t>
        </is>
      </c>
    </row>
    <row r="28">
      <c r="A28" s="8" t="inlineStr">
        <is>
          <t>INV-17</t>
        </is>
      </c>
      <c r="B28" s="8" t="inlineStr">
        <is>
          <t>LAB-PMD</t>
        </is>
      </c>
    </row>
    <row r="29">
      <c r="A29" s="8" t="inlineStr">
        <is>
          <t>INV-18</t>
        </is>
      </c>
      <c r="B29" s="8" t="inlineStr">
        <is>
          <t>LAB-PMD</t>
        </is>
      </c>
    </row>
    <row r="30">
      <c r="A30" s="8" t="inlineStr">
        <is>
          <t>INV-19</t>
        </is>
      </c>
      <c r="B30" s="8" t="inlineStr">
        <is>
          <t>LAB-AFL</t>
        </is>
      </c>
    </row>
    <row r="31">
      <c r="A31" s="8" t="inlineStr">
        <is>
          <t>INV-20</t>
        </is>
      </c>
      <c r="B31" s="8" t="inlineStr">
        <is>
          <t>LAB-PMD</t>
        </is>
      </c>
    </row>
    <row r="32">
      <c r="A32" s="8" t="inlineStr">
        <is>
          <t>INV-21</t>
        </is>
      </c>
      <c r="B32" s="8" t="inlineStr">
        <is>
          <t>LAB-AFL</t>
        </is>
      </c>
    </row>
    <row r="33">
      <c r="A33" s="8" t="inlineStr">
        <is>
          <t>INV-21</t>
        </is>
      </c>
      <c r="B33" s="8" t="inlineStr">
        <is>
          <t>LAB-PMD</t>
        </is>
      </c>
    </row>
    <row r="34">
      <c r="A34" s="8" t="inlineStr">
        <is>
          <t>INV-22</t>
        </is>
      </c>
      <c r="B34" s="8" t="inlineStr">
        <is>
          <t>LAB-UAF</t>
        </is>
      </c>
    </row>
  </sheetData>
  <mergeCells count="2">
    <mergeCell ref="A2:B2"/>
    <mergeCell ref="A1:B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1"/>
  <sheetViews>
    <sheetView workbookViewId="0">
      <pane ySplit="4" topLeftCell="A5" activePane="bottomLeft" state="frozen"/>
      <selection pane="bottomLeft" activeCell="A1" sqref="A1"/>
    </sheetView>
  </sheetViews>
  <sheetFormatPr baseColWidth="8" defaultRowHeight="15"/>
  <cols>
    <col width="18" customWidth="1" min="1" max="1"/>
    <col width="12" customWidth="1" min="2" max="2"/>
  </cols>
  <sheetData>
    <row r="1">
      <c r="A1" s="6" t="inlineStr">
        <is>
          <t>13 · Investigador ↔ Modo (m:n)</t>
        </is>
      </c>
    </row>
    <row r="2">
      <c r="A2" s="2" t="inlineStr">
        <is>
          <t>Lectura desde el material — modos predominantes declarados o inferidos.</t>
        </is>
      </c>
    </row>
    <row r="4">
      <c r="A4" s="7" t="inlineStr">
        <is>
          <t>investigador_id</t>
        </is>
      </c>
      <c r="B4" s="7" t="inlineStr">
        <is>
          <t>modo_id</t>
        </is>
      </c>
    </row>
    <row r="5">
      <c r="A5" s="8" t="inlineStr">
        <is>
          <t>INV-01</t>
        </is>
      </c>
      <c r="B5" s="8" t="inlineStr">
        <is>
          <t>MOD-02</t>
        </is>
      </c>
    </row>
    <row r="6">
      <c r="A6" s="8" t="inlineStr">
        <is>
          <t>INV-01</t>
        </is>
      </c>
      <c r="B6" s="8" t="inlineStr">
        <is>
          <t>MOD-01</t>
        </is>
      </c>
    </row>
    <row r="7">
      <c r="A7" s="8" t="inlineStr">
        <is>
          <t>INV-02</t>
        </is>
      </c>
      <c r="B7" s="8" t="inlineStr">
        <is>
          <t>MOD-03</t>
        </is>
      </c>
    </row>
    <row r="8">
      <c r="A8" s="8" t="inlineStr">
        <is>
          <t>INV-02</t>
        </is>
      </c>
      <c r="B8" s="8" t="inlineStr">
        <is>
          <t>MOD-02</t>
        </is>
      </c>
    </row>
    <row r="9">
      <c r="A9" s="8" t="inlineStr">
        <is>
          <t>INV-03</t>
        </is>
      </c>
      <c r="B9" s="8" t="inlineStr">
        <is>
          <t>MOD-01</t>
        </is>
      </c>
    </row>
    <row r="10">
      <c r="A10" s="8" t="inlineStr">
        <is>
          <t>INV-03</t>
        </is>
      </c>
      <c r="B10" s="8" t="inlineStr">
        <is>
          <t>MOD-02</t>
        </is>
      </c>
    </row>
    <row r="11">
      <c r="A11" s="8" t="inlineStr">
        <is>
          <t>INV-04</t>
        </is>
      </c>
      <c r="B11" s="8" t="inlineStr">
        <is>
          <t>MOD-02</t>
        </is>
      </c>
    </row>
    <row r="12">
      <c r="A12" s="8" t="inlineStr">
        <is>
          <t>INV-04</t>
        </is>
      </c>
      <c r="B12" s="8" t="inlineStr">
        <is>
          <t>MOD-03</t>
        </is>
      </c>
    </row>
    <row r="13">
      <c r="A13" s="8" t="inlineStr">
        <is>
          <t>INV-05</t>
        </is>
      </c>
      <c r="B13" s="8" t="inlineStr">
        <is>
          <t>MOD-03</t>
        </is>
      </c>
    </row>
    <row r="14">
      <c r="A14" s="8" t="inlineStr">
        <is>
          <t>INV-05</t>
        </is>
      </c>
      <c r="B14" s="8" t="inlineStr">
        <is>
          <t>MOD-02</t>
        </is>
      </c>
    </row>
    <row r="15">
      <c r="A15" s="8" t="inlineStr">
        <is>
          <t>INV-06</t>
        </is>
      </c>
      <c r="B15" s="8" t="inlineStr">
        <is>
          <t>MOD-03</t>
        </is>
      </c>
    </row>
    <row r="16">
      <c r="A16" s="8" t="inlineStr">
        <is>
          <t>INV-07</t>
        </is>
      </c>
      <c r="B16" s="8" t="inlineStr">
        <is>
          <t>MOD-02</t>
        </is>
      </c>
    </row>
    <row r="17">
      <c r="A17" s="8" t="inlineStr">
        <is>
          <t>INV-08</t>
        </is>
      </c>
      <c r="B17" s="8" t="inlineStr">
        <is>
          <t>MOD-02</t>
        </is>
      </c>
    </row>
    <row r="18">
      <c r="A18" s="8" t="inlineStr">
        <is>
          <t>INV-09</t>
        </is>
      </c>
      <c r="B18" s="8" t="inlineStr">
        <is>
          <t>MOD-01</t>
        </is>
      </c>
    </row>
    <row r="19">
      <c r="A19" s="8" t="inlineStr">
        <is>
          <t>INV-09</t>
        </is>
      </c>
      <c r="B19" s="8" t="inlineStr">
        <is>
          <t>MOD-02</t>
        </is>
      </c>
    </row>
    <row r="20">
      <c r="A20" s="8" t="inlineStr">
        <is>
          <t>INV-10</t>
        </is>
      </c>
      <c r="B20" s="8" t="inlineStr">
        <is>
          <t>MOD-03</t>
        </is>
      </c>
    </row>
    <row r="21">
      <c r="A21" s="8" t="inlineStr">
        <is>
          <t>INV-10</t>
        </is>
      </c>
      <c r="B21" s="8" t="inlineStr">
        <is>
          <t>MOD-02</t>
        </is>
      </c>
    </row>
    <row r="22">
      <c r="A22" s="8" t="inlineStr">
        <is>
          <t>INV-11</t>
        </is>
      </c>
      <c r="B22" s="8" t="inlineStr">
        <is>
          <t>MOD-03</t>
        </is>
      </c>
    </row>
    <row r="23">
      <c r="A23" s="8" t="inlineStr">
        <is>
          <t>INV-11</t>
        </is>
      </c>
      <c r="B23" s="8" t="inlineStr">
        <is>
          <t>MOD-02</t>
        </is>
      </c>
    </row>
    <row r="24">
      <c r="A24" s="8" t="inlineStr">
        <is>
          <t>INV-12</t>
        </is>
      </c>
      <c r="B24" s="8" t="inlineStr">
        <is>
          <t>MOD-03</t>
        </is>
      </c>
    </row>
    <row r="25">
      <c r="A25" s="8" t="inlineStr">
        <is>
          <t>INV-13</t>
        </is>
      </c>
      <c r="B25" s="8" t="inlineStr">
        <is>
          <t>MOD-03</t>
        </is>
      </c>
    </row>
    <row r="26">
      <c r="A26" s="8" t="inlineStr">
        <is>
          <t>INV-14</t>
        </is>
      </c>
      <c r="B26" s="8" t="inlineStr">
        <is>
          <t>MOD-02</t>
        </is>
      </c>
    </row>
    <row r="27">
      <c r="A27" s="8" t="inlineStr">
        <is>
          <t>INV-15</t>
        </is>
      </c>
      <c r="B27" s="8" t="inlineStr">
        <is>
          <t>MOD-03</t>
        </is>
      </c>
    </row>
    <row r="28">
      <c r="A28" s="8" t="inlineStr">
        <is>
          <t>INV-16</t>
        </is>
      </c>
      <c r="B28" s="8" t="inlineStr">
        <is>
          <t>MOD-02</t>
        </is>
      </c>
    </row>
    <row r="29">
      <c r="A29" s="8" t="inlineStr">
        <is>
          <t>INV-16</t>
        </is>
      </c>
      <c r="B29" s="8" t="inlineStr">
        <is>
          <t>MOD-03</t>
        </is>
      </c>
    </row>
    <row r="30">
      <c r="A30" s="8" t="inlineStr">
        <is>
          <t>INV-17</t>
        </is>
      </c>
      <c r="B30" s="8" t="inlineStr">
        <is>
          <t>MOD-02</t>
        </is>
      </c>
    </row>
    <row r="31">
      <c r="A31" s="8" t="inlineStr">
        <is>
          <t>INV-17</t>
        </is>
      </c>
      <c r="B31" s="8" t="inlineStr">
        <is>
          <t>MOD-01</t>
        </is>
      </c>
    </row>
    <row r="32">
      <c r="A32" s="8" t="inlineStr">
        <is>
          <t>INV-18</t>
        </is>
      </c>
      <c r="B32" s="8" t="inlineStr">
        <is>
          <t>MOD-01</t>
        </is>
      </c>
    </row>
    <row r="33">
      <c r="A33" s="8" t="inlineStr">
        <is>
          <t>INV-18</t>
        </is>
      </c>
      <c r="B33" s="8" t="inlineStr">
        <is>
          <t>MOD-02</t>
        </is>
      </c>
    </row>
    <row r="34">
      <c r="A34" s="8" t="inlineStr">
        <is>
          <t>INV-19</t>
        </is>
      </c>
      <c r="B34" s="8" t="inlineStr">
        <is>
          <t>MOD-03</t>
        </is>
      </c>
    </row>
    <row r="35">
      <c r="A35" s="8" t="inlineStr">
        <is>
          <t>INV-19</t>
        </is>
      </c>
      <c r="B35" s="8" t="inlineStr">
        <is>
          <t>MOD-02</t>
        </is>
      </c>
    </row>
    <row r="36">
      <c r="A36" s="8" t="inlineStr">
        <is>
          <t>INV-20</t>
        </is>
      </c>
      <c r="B36" s="8" t="inlineStr">
        <is>
          <t>MOD-01</t>
        </is>
      </c>
    </row>
    <row r="37">
      <c r="A37" s="8" t="inlineStr">
        <is>
          <t>INV-20</t>
        </is>
      </c>
      <c r="B37" s="8" t="inlineStr">
        <is>
          <t>MOD-03</t>
        </is>
      </c>
    </row>
    <row r="38">
      <c r="A38" s="8" t="inlineStr">
        <is>
          <t>INV-21</t>
        </is>
      </c>
      <c r="B38" s="8" t="inlineStr">
        <is>
          <t>MOD-03</t>
        </is>
      </c>
    </row>
    <row r="39">
      <c r="A39" s="8" t="inlineStr">
        <is>
          <t>INV-21</t>
        </is>
      </c>
      <c r="B39" s="8" t="inlineStr">
        <is>
          <t>MOD-02</t>
        </is>
      </c>
    </row>
    <row r="40">
      <c r="A40" s="8" t="inlineStr">
        <is>
          <t>INV-22</t>
        </is>
      </c>
      <c r="B40" s="8" t="inlineStr">
        <is>
          <t>MOD-03</t>
        </is>
      </c>
    </row>
    <row r="41">
      <c r="A41" s="8" t="inlineStr">
        <is>
          <t>INV-22</t>
        </is>
      </c>
      <c r="B41" s="8" t="inlineStr">
        <is>
          <t>MOD-02</t>
        </is>
      </c>
    </row>
  </sheetData>
  <mergeCells count="2">
    <mergeCell ref="A2:B2"/>
    <mergeCell ref="A1:B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1"/>
  <sheetViews>
    <sheetView workbookViewId="0">
      <pane ySplit="4" topLeftCell="A5" activePane="bottomLeft" state="frozen"/>
      <selection pane="bottomLeft" activeCell="A1" sqref="A1"/>
    </sheetView>
  </sheetViews>
  <sheetFormatPr baseColWidth="8" defaultRowHeight="15"/>
  <cols>
    <col width="12" customWidth="1" min="1" max="1"/>
    <col width="12" customWidth="1" min="2" max="2"/>
    <col width="18" customWidth="1" min="3" max="3"/>
  </cols>
  <sheetData>
    <row r="1">
      <c r="A1" s="6" t="inlineStr">
        <is>
          <t>14 · Línea ↔ Modo (m:n)</t>
        </is>
      </c>
    </row>
    <row r="2">
      <c r="A2" s="2" t="inlineStr">
        <is>
          <t>Modos predominantes por Línea — útil para coloreo/filtros del grafo. BORRADOR.</t>
        </is>
      </c>
    </row>
    <row r="4">
      <c r="A4" s="7" t="inlineStr">
        <is>
          <t>linea_id</t>
        </is>
      </c>
      <c r="B4" s="7" t="inlineStr">
        <is>
          <t>modo_id</t>
        </is>
      </c>
      <c r="C4" s="7" t="inlineStr">
        <is>
          <t>nivel</t>
        </is>
      </c>
    </row>
    <row r="5">
      <c r="A5" s="8" t="inlineStr">
        <is>
          <t>LIN-01</t>
        </is>
      </c>
      <c r="B5" s="8" t="inlineStr">
        <is>
          <t>MOD-03</t>
        </is>
      </c>
      <c r="C5" s="8" t="inlineStr">
        <is>
          <t>predominante</t>
        </is>
      </c>
    </row>
    <row r="6">
      <c r="A6" s="8" t="inlineStr">
        <is>
          <t>LIN-01</t>
        </is>
      </c>
      <c r="B6" s="8" t="inlineStr">
        <is>
          <t>MOD-02</t>
        </is>
      </c>
      <c r="C6" s="8" t="inlineStr">
        <is>
          <t>presente</t>
        </is>
      </c>
    </row>
    <row r="7">
      <c r="A7" s="8" t="inlineStr">
        <is>
          <t>LIN-02</t>
        </is>
      </c>
      <c r="B7" s="8" t="inlineStr">
        <is>
          <t>MOD-02</t>
        </is>
      </c>
      <c r="C7" s="8" t="inlineStr">
        <is>
          <t>predominante</t>
        </is>
      </c>
    </row>
    <row r="8">
      <c r="A8" s="8" t="inlineStr">
        <is>
          <t>LIN-02</t>
        </is>
      </c>
      <c r="B8" s="8" t="inlineStr">
        <is>
          <t>MOD-03</t>
        </is>
      </c>
      <c r="C8" s="8" t="inlineStr">
        <is>
          <t>presente</t>
        </is>
      </c>
    </row>
    <row r="9">
      <c r="A9" s="8" t="inlineStr">
        <is>
          <t>LIN-03</t>
        </is>
      </c>
      <c r="B9" s="8" t="inlineStr">
        <is>
          <t>MOD-01</t>
        </is>
      </c>
      <c r="C9" s="8" t="inlineStr">
        <is>
          <t>predominante</t>
        </is>
      </c>
    </row>
    <row r="10">
      <c r="A10" s="8" t="inlineStr">
        <is>
          <t>LIN-03</t>
        </is>
      </c>
      <c r="B10" s="8" t="inlineStr">
        <is>
          <t>MOD-02</t>
        </is>
      </c>
      <c r="C10" s="8" t="inlineStr">
        <is>
          <t>predominante</t>
        </is>
      </c>
    </row>
    <row r="11">
      <c r="A11" s="8" t="inlineStr">
        <is>
          <t>LIN-04</t>
        </is>
      </c>
      <c r="B11" s="8" t="inlineStr">
        <is>
          <t>MOD-03</t>
        </is>
      </c>
      <c r="C11" s="8" t="inlineStr">
        <is>
          <t>predominante</t>
        </is>
      </c>
    </row>
  </sheetData>
  <mergeCells count="2">
    <mergeCell ref="A1:C1"/>
    <mergeCell ref="A2:C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4"/>
  <sheetViews>
    <sheetView workbookViewId="0">
      <pane ySplit="4" topLeftCell="A5" activePane="bottomLeft" state="frozen"/>
      <selection pane="bottomLeft" activeCell="A1" sqref="A1"/>
    </sheetView>
  </sheetViews>
  <sheetFormatPr baseColWidth="8" defaultRowHeight="15"/>
  <cols>
    <col width="8" customWidth="1" min="1" max="1"/>
    <col width="60" customWidth="1" min="2" max="2"/>
    <col width="100" customWidth="1" min="3" max="3"/>
    <col width="14" customWidth="1" min="4" max="4"/>
  </cols>
  <sheetData>
    <row r="1">
      <c r="A1" s="6" t="inlineStr">
        <is>
          <t>15 · Decisiones pendientes</t>
        </is>
      </c>
    </row>
    <row r="2">
      <c r="A2" s="2" t="inlineStr">
        <is>
          <t>Cada decisión bloquea o refina el modelo. Marcar como 'Resuelta' con la respuesta.</t>
        </is>
      </c>
    </row>
    <row r="4">
      <c r="A4" s="7" t="inlineStr">
        <is>
          <t>id</t>
        </is>
      </c>
      <c r="B4" s="7" t="inlineStr">
        <is>
          <t>decisión</t>
        </is>
      </c>
      <c r="C4" s="7" t="inlineStr">
        <is>
          <t>contexto</t>
        </is>
      </c>
      <c r="D4" s="7" t="inlineStr">
        <is>
          <t>estado</t>
        </is>
      </c>
    </row>
    <row r="5">
      <c r="A5" s="9" t="inlineStr">
        <is>
          <t>D-01</t>
        </is>
      </c>
      <c r="B5" s="9" t="inlineStr">
        <is>
          <t>¿3 o 4 Líneas troncales?</t>
        </is>
      </c>
      <c r="C5" s="9" t="inlineStr">
        <is>
          <t>El brief inicial dice 4. En la elicitación apareció '3 líneas x definir'. Se trabaja con 4 BORRADOR; la 4ª (Métodos, técnicas y medios) es candidata a fusionar con LIN-01 o LIN-03 si se decide compactar a 3.</t>
        </is>
      </c>
      <c r="D5" s="9" t="inlineStr">
        <is>
          <t>Abierta</t>
        </is>
      </c>
    </row>
    <row r="6">
      <c r="A6" s="9" t="inlineStr">
        <is>
          <t>D-02</t>
        </is>
      </c>
      <c r="B6" s="9" t="inlineStr">
        <is>
          <t>Nombres definitivos de las 4 Líneas</t>
        </is>
      </c>
      <c r="C6" s="9" t="inlineStr">
        <is>
          <t>Los nombres actuales son derivados de la hipótesis de compactación. Confirmar redacción institucional (la que iría a CNA).</t>
        </is>
      </c>
      <c r="D6" s="9" t="inlineStr">
        <is>
          <t>Abierta</t>
        </is>
      </c>
    </row>
    <row r="7">
      <c r="A7" s="9" t="inlineStr">
        <is>
          <t>D-03</t>
        </is>
      </c>
      <c r="B7" s="9" t="inlineStr">
        <is>
          <t>Áreas del Postgrado: ¿quedan? ¿se renombran?</t>
        </is>
      </c>
      <c r="C7" s="9" t="inlineStr">
        <is>
          <t>Material plantea variantes (ej. 'Extensión, Territorio y Ecologías del Habitar'). Si se mantienen como eje ortogonal, decidir nombre canónico.</t>
        </is>
      </c>
      <c r="D7" s="9" t="inlineStr">
        <is>
          <t>Abierta</t>
        </is>
      </c>
    </row>
    <row r="8">
      <c r="A8" s="9" t="inlineStr">
        <is>
          <t>D-04</t>
        </is>
      </c>
      <c r="B8" s="9" t="inlineStr">
        <is>
          <t>Sublínea SUB-22 'Prácticas colectivas'</t>
        </is>
      </c>
      <c r="C8" s="9" t="inlineStr">
        <is>
          <t>Asignada provisoriamente a LIN-02. Tiene respaldo también en LIN-03. Decidir hogar.</t>
        </is>
      </c>
      <c r="D8" s="9" t="inlineStr">
        <is>
          <t>Abierta</t>
        </is>
      </c>
    </row>
    <row r="9">
      <c r="A9" s="9" t="inlineStr">
        <is>
          <t>D-05</t>
        </is>
      </c>
      <c r="B9" s="9" t="inlineStr">
        <is>
          <t>Sublínea SUB-21 'Perspectivas decoloniales'</t>
        </is>
      </c>
      <c r="C9" s="9" t="inlineStr">
        <is>
          <t>Asignada provisoriamente a LIN-02 (ecologías). Podría leerse en LIN-01 (inclusión) o quedar transversal.</t>
        </is>
      </c>
      <c r="D9" s="9" t="inlineStr">
        <is>
          <t>Abierta</t>
        </is>
      </c>
    </row>
    <row r="10">
      <c r="A10" s="9" t="inlineStr">
        <is>
          <t>D-06</t>
        </is>
      </c>
      <c r="B10" s="9" t="inlineStr">
        <is>
          <t>Cobertura de mapeo Sublínea↔Tema</t>
        </is>
      </c>
      <c r="C10" s="9" t="inlineStr">
        <is>
          <t>Mapeo solo de alta confianza. Sublíneas SUB-05, SUB-13, SUB-17, SUB-23, SUB-24 sin temas asociados — completar o decidir si retiran del banco.</t>
        </is>
      </c>
      <c r="D10" s="9" t="inlineStr">
        <is>
          <t>Abierta</t>
        </is>
      </c>
    </row>
    <row r="11">
      <c r="A11" s="9" t="inlineStr">
        <is>
          <t>D-07</t>
        </is>
      </c>
      <c r="B11" s="9" t="inlineStr">
        <is>
          <t>Proximidad semántica latente</t>
        </is>
      </c>
      <c r="C11" s="9" t="inlineStr">
        <is>
          <t>Pendiente definir: ¿es declarada (curaduría humana, valor de afinidad) o computada (embeddings sobre nombres+descripciones)? Esto cambia los datos que la planilla debe contener (vector_id, score, etc.).</t>
        </is>
      </c>
      <c r="D11" s="9" t="inlineStr">
        <is>
          <t>Abierta</t>
        </is>
      </c>
    </row>
    <row r="12">
      <c r="A12" s="9" t="inlineStr">
        <is>
          <t>D-08</t>
        </is>
      </c>
      <c r="B12" s="9" t="inlineStr">
        <is>
          <t>¿Las Salidas se asocian solo a Labs, o también a Líneas/Sublíneas?</t>
        </is>
      </c>
      <c r="C12" s="9" t="inlineStr">
        <is>
          <t>Hoy el modelo asocia Salida↔Lab. Confirmar si una Línea declara una Salida directamente, o si siempre pasa por su(s) Lab(s).</t>
        </is>
      </c>
      <c r="D12" s="9" t="inlineStr">
        <is>
          <t>Abierta</t>
        </is>
      </c>
    </row>
    <row r="13">
      <c r="A13" s="9" t="inlineStr">
        <is>
          <t>D-09</t>
        </is>
      </c>
      <c r="B13" s="9" t="inlineStr">
        <is>
          <t>Investigadores afiliados a más de un Área</t>
        </is>
      </c>
      <c r="C13" s="9" t="inlineStr">
        <is>
          <t>Modelo actual usa 'área_principal' (1:1). Si hay investigadores con afiliación múltiple, conviene una hoja Investigador↔Área (m:n).</t>
        </is>
      </c>
      <c r="D13" s="9" t="inlineStr">
        <is>
          <t>Abierta</t>
        </is>
      </c>
    </row>
    <row r="14">
      <c r="A14" s="9" t="inlineStr">
        <is>
          <t>D-10</t>
        </is>
      </c>
      <c r="B14" s="9" t="inlineStr">
        <is>
          <t>Fuente única de verdad</t>
        </is>
      </c>
      <c r="C14" s="9" t="inlineStr">
        <is>
          <t>Esta planilla es ahora la fuente. Decidir cómo se sincroniza con la planilla anterior (lineas-areas-mad.csv) y si el grafo del index.html consume desde aquí.</t>
        </is>
      </c>
      <c r="D14" s="9" t="inlineStr">
        <is>
          <t>Abierta</t>
        </is>
      </c>
    </row>
  </sheetData>
  <mergeCells count="2">
    <mergeCell ref="A1:D1"/>
    <mergeCell ref="A2:D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40" customWidth="1" min="1" max="1"/>
    <col width="20" customWidth="1" min="2" max="2"/>
  </cols>
  <sheetData>
    <row r="1">
      <c r="A1" s="6" t="inlineStr">
        <is>
          <t>Resumen cuantitativo</t>
        </is>
      </c>
    </row>
    <row r="3">
      <c r="A3" s="3" t="inlineStr">
        <is>
          <t>Conteos por entidad (auto-calculados)</t>
        </is>
      </c>
    </row>
    <row r="4">
      <c r="A4" s="10" t="inlineStr">
        <is>
          <t>entidad / relación</t>
        </is>
      </c>
      <c r="B4" s="10" t="inlineStr">
        <is>
          <t>conteo</t>
        </is>
      </c>
    </row>
    <row r="5">
      <c r="A5" s="11" t="inlineStr">
        <is>
          <t>Líneas</t>
        </is>
      </c>
      <c r="B5" s="11">
        <f>COUNTA('01_Lineas'!A:A)-1</f>
        <v/>
      </c>
    </row>
    <row r="6">
      <c r="A6" s="11" t="inlineStr">
        <is>
          <t>Sublíneas</t>
        </is>
      </c>
      <c r="B6" s="11">
        <f>COUNTA('02_Sublineas'!A:A)-1</f>
        <v/>
      </c>
    </row>
    <row r="7">
      <c r="A7" s="11" t="inlineStr">
        <is>
          <t>Áreas</t>
        </is>
      </c>
      <c r="B7" s="11">
        <f>COUNTA('03_Areas'!A:A)-1</f>
        <v/>
      </c>
    </row>
    <row r="8">
      <c r="A8" s="11" t="inlineStr">
        <is>
          <t>Modos</t>
        </is>
      </c>
      <c r="B8" s="11">
        <f>COUNTA('04_Modos'!A:A)-1</f>
        <v/>
      </c>
    </row>
    <row r="9">
      <c r="A9" s="11" t="inlineStr">
        <is>
          <t>Salidas</t>
        </is>
      </c>
      <c r="B9" s="11">
        <f>COUNTA('05_Salidas'!A:A)-1</f>
        <v/>
      </c>
    </row>
    <row r="10">
      <c r="A10" s="11" t="inlineStr">
        <is>
          <t>Laboratorios</t>
        </is>
      </c>
      <c r="B10" s="11">
        <f>COUNTA('06_Laboratorios'!A:A)-1</f>
        <v/>
      </c>
    </row>
    <row r="11">
      <c r="A11" s="11" t="inlineStr">
        <is>
          <t>Investigadores</t>
        </is>
      </c>
      <c r="B11" s="11">
        <f>COUNTA('07_Investigadores'!A:A)-1</f>
        <v/>
      </c>
    </row>
    <row r="12">
      <c r="A12" s="11" t="inlineStr">
        <is>
          <t>Temas</t>
        </is>
      </c>
      <c r="B12" s="11">
        <f>COUNTA('08_Temas'!A:A)-1</f>
        <v/>
      </c>
    </row>
    <row r="13">
      <c r="A13" s="11" t="inlineStr">
        <is>
          <t>Sublínea↔Tema</t>
        </is>
      </c>
      <c r="B13" s="11">
        <f>COUNTA('09_Sublinea_Tema'!A:A)-1</f>
        <v/>
      </c>
    </row>
    <row r="14">
      <c r="A14" s="11" t="inlineStr">
        <is>
          <t>Lab↔Línea</t>
        </is>
      </c>
      <c r="B14" s="11">
        <f>COUNTA('10_Lab_Linea'!A:A)-1</f>
        <v/>
      </c>
    </row>
    <row r="15">
      <c r="A15" s="11" t="inlineStr">
        <is>
          <t>Lab↔Salida</t>
        </is>
      </c>
      <c r="B15" s="11">
        <f>COUNTA('11_Lab_Salida'!A:A)-1</f>
        <v/>
      </c>
    </row>
    <row r="16">
      <c r="A16" s="11" t="inlineStr">
        <is>
          <t>Investigador↔Lab</t>
        </is>
      </c>
      <c r="B16" s="11">
        <f>COUNTA('12_Investigador_Lab'!A:A)-1</f>
        <v/>
      </c>
    </row>
    <row r="17">
      <c r="A17" s="11" t="inlineStr">
        <is>
          <t>Investigador↔Modo</t>
        </is>
      </c>
      <c r="B17" s="11">
        <f>COUNTA('13_Investigador_Modo'!A:A)-1</f>
        <v/>
      </c>
    </row>
    <row r="18">
      <c r="A18" s="11" t="inlineStr">
        <is>
          <t>Línea↔Modo</t>
        </is>
      </c>
      <c r="B18" s="11">
        <f>COUNTA('14_Linea_Modo'!A:A)-1</f>
        <v/>
      </c>
    </row>
    <row r="19">
      <c r="A19" s="11" t="inlineStr">
        <is>
          <t>Sello (variantes)</t>
        </is>
      </c>
      <c r="B19" s="11">
        <f>COUNTA('17_Sello'!A:A)-1</f>
        <v/>
      </c>
    </row>
    <row r="20">
      <c r="A20" s="11" t="inlineStr">
        <is>
          <t>Proximidad (pares)</t>
        </is>
      </c>
      <c r="B20" s="11">
        <f>COUNTA('18_Proximidad_Tematica'!A:A)-1</f>
        <v/>
      </c>
    </row>
    <row r="21">
      <c r="A21" s="3" t="inlineStr">
        <is>
          <t>Cobertura de mapeos</t>
        </is>
      </c>
    </row>
    <row r="22">
      <c r="A22" t="inlineStr">
        <is>
          <t>Temas con al menos una Sublínea</t>
        </is>
      </c>
      <c r="B22">
        <f>SUMPRODUCT(1/COUNTIF('09_Sublinea_Tema'!B2:B500,'09_Sublinea_Tema'!B2:B500))</f>
        <v/>
      </c>
    </row>
    <row r="23">
      <c r="A23" t="inlineStr">
        <is>
          <t>Total temas</t>
        </is>
      </c>
      <c r="B23">
        <f>COUNTA('08_Temas'!A:A)-1</f>
        <v/>
      </c>
    </row>
    <row r="24">
      <c r="A24" t="inlineStr">
        <is>
          <t>% temas mapeados</t>
        </is>
      </c>
      <c r="B24" s="12">
        <f>B22/B23</f>
        <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0"/>
  <sheetViews>
    <sheetView workbookViewId="0">
      <pane ySplit="4" topLeftCell="A5" activePane="bottomLeft" state="frozen"/>
      <selection pane="bottomLeft" activeCell="A1" sqref="A1"/>
    </sheetView>
  </sheetViews>
  <sheetFormatPr baseColWidth="8" defaultRowHeight="15"/>
  <cols>
    <col width="10" customWidth="1" min="1" max="1"/>
    <col width="38" customWidth="1" min="2" max="2"/>
    <col width="110" customWidth="1" min="3" max="3"/>
  </cols>
  <sheetData>
    <row r="1">
      <c r="A1" s="6" t="inlineStr">
        <is>
          <t>17 · Sello formativo del doctorado</t>
        </is>
      </c>
    </row>
    <row r="2" ht="45" customHeight="1">
      <c r="A2" s="13" t="inlineStr">
        <is>
          <t>Afirmación identitaria sobre qué se forma. La fila marcada (ELEGIDO, verde) es la versión que se usa para copy institucional. Las otras se conservan como trazabilidad de las alternativas exploradas. Regla de estilo de la elegida: redacción en afirmativo, sin em-dashes.</t>
        </is>
      </c>
    </row>
    <row r="4">
      <c r="A4" s="14" t="inlineStr">
        <is>
          <t>Variante</t>
        </is>
      </c>
      <c r="B4" s="14" t="inlineStr">
        <is>
          <t>Foco</t>
        </is>
      </c>
      <c r="C4" s="14" t="inlineStr">
        <is>
          <t>Texto</t>
        </is>
      </c>
    </row>
    <row r="5" ht="220" customHeight="1">
      <c r="A5" s="15" t="n">
        <v>1</v>
      </c>
      <c r="B5" s="15" t="inlineStr">
        <is>
          <t>La obra como argumento (ELEGIDO)</t>
        </is>
      </c>
      <c r="C5" s="15" t="inlineStr">
        <is>
          <t>El doctorado forma investigadores para quienes la obra es origen y prueba de la tesis. Esa obra, sea edificada, fabricada, escrita o dibujada, vale como argumento por sí misma, y el discurso doctoral se construye para hacerla legible y discutible. La pregunta que esa obra está llamada a argumentar es la que el programa hace suya: cómo reinventar el habitar humano. Las cuatro líneas del doctorado aportan los principios que esa pregunta convoca: la inclusión y la autonomía como condiciones de quien habita, las ecologías del territorio como condiciones de dónde, la herencia disciplinar de la e[ad] y la teoría del proyecto como condiciones desde dónde se piensa, y el oficio y los medios técnicos como condiciones con qué se hace. Doctorarse aquí es haber producido una obra capaz de sostener esos principios al ponerse a prueba y, en su mejor versión, capaz de reformularlos.</t>
        </is>
      </c>
    </row>
    <row r="6" ht="70" customHeight="1">
      <c r="A6" s="16" t="n">
        <v>2</v>
      </c>
      <c r="B6" s="16" t="inlineStr">
        <is>
          <t>Palabra y obra inseparables</t>
        </is>
      </c>
      <c r="C6" s="16" t="inlineStr">
        <is>
          <t>Lo que aquí se forma es la imposibilidad de separar lo que se dice de lo que se hace: cada una porta el argumento de la otra. El doctorando se gradúa cuando ese vínculo deja de ser declarativo y aparece, demostrable, en su trabajo.</t>
        </is>
      </c>
    </row>
    <row r="7" ht="70" customHeight="1">
      <c r="A7" s="16" t="n">
        <v>3</v>
      </c>
      <c r="B7" s="16" t="inlineStr">
        <is>
          <t>Tres disciplinas encadenadas</t>
        </is>
      </c>
      <c r="C7" s="16" t="inlineStr">
        <is>
          <t>La formación doctoral está organizada en torno a tres disciplinas que se exigen entre sí: una observación sostenida en el tiempo, una palabra precisa para nombrar lo observado, y una obra que las pone a prueba. La tesis doctoral es haber recorrido ese encadenamiento al menos una vez con resultado defendible.</t>
        </is>
      </c>
    </row>
    <row r="8" ht="70" customHeight="1">
      <c r="A8" s="16" t="n">
        <v>4</v>
      </c>
      <c r="B8" s="16" t="inlineStr">
        <is>
          <t>Pensar con el material</t>
        </is>
      </c>
      <c r="C8" s="16" t="inlineStr">
        <is>
          <t>Se forma una capacidad poco frecuente: pensar con el material y no sobre el material. Plano, maqueta, terreno, prototipo y página son los lugares donde el pensamiento ocurre, no representaciones de un pensamiento que ocurrió en otra parte.</t>
        </is>
      </c>
    </row>
    <row r="9" ht="70" customHeight="1">
      <c r="A9" s="16" t="n">
        <v>5</v>
      </c>
      <c r="B9" s="16" t="inlineStr">
        <is>
          <t>Responsabilidad por la obra propia</t>
        </is>
      </c>
      <c r="C9" s="16" t="inlineStr">
        <is>
          <t>El doctorando responde por una obra que hace, no por una literatura que comenta. El programa no forma críticos de arquitectura y diseño: forma investigadores que producen obra y la sostienen en el plano académico.</t>
        </is>
      </c>
    </row>
    <row r="10" ht="70" customHeight="1">
      <c r="A10" s="16" t="n">
        <v>6</v>
      </c>
      <c r="B10" s="16" t="inlineStr">
        <is>
          <t>Travesía como exigencia</t>
        </is>
      </c>
      <c r="C10" s="16" t="inlineStr">
        <is>
          <t>La formación incorpora la travesía como condición: el continente se piensa cruzándolo, observándolo y dejando obra en él. Quien se doctora aquí no escribe sobre territorios que no ha recorrido ni sobre comunidades con las que no ha trabajado.</t>
        </is>
      </c>
    </row>
  </sheetData>
  <mergeCells count="2">
    <mergeCell ref="A1:C1"/>
    <mergeCell ref="A2:C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90"/>
  <sheetViews>
    <sheetView workbookViewId="0">
      <pane ySplit="4" topLeftCell="A5" activePane="bottomLeft" state="frozen"/>
      <selection pane="bottomLeft" activeCell="A1" sqref="A1"/>
    </sheetView>
  </sheetViews>
  <sheetFormatPr baseColWidth="8" defaultRowHeight="15"/>
  <cols>
    <col width="14" customWidth="1" min="1" max="1"/>
    <col width="38" customWidth="1" min="2" max="2"/>
    <col width="14" customWidth="1" min="3" max="3"/>
    <col width="38" customWidth="1" min="4" max="4"/>
    <col width="11" customWidth="1" min="5" max="5"/>
    <col width="70" customWidth="1" min="6" max="6"/>
    <col width="14" customWidth="1" min="7" max="7"/>
  </cols>
  <sheetData>
    <row r="1">
      <c r="A1" s="6" t="inlineStr">
        <is>
          <t>18 · Proximidad temática (Sublínea ↔ Sublínea)</t>
        </is>
      </c>
    </row>
    <row r="2" ht="60" customHeight="1">
      <c r="A2" s="13" t="inlineStr">
        <is>
          <t>Matriz de afinidad declarada como pares simétricos. Inferida desde nombres + descripciones; estado=INFERIDO. Afinar a mano: corregir afinidad, agregar/quitar pares, marcar estado=CONFIRMADO/AJUSTADO/DESCARTADO. Cada par implica afinidad inversa equivalente (b↔a). Si re-generas la planilla con build_xlsx.py, los cambios manuales se sobrescriben — reflejarlos en PROXIMIDAD_PARES del script para que persistan.</t>
        </is>
      </c>
    </row>
    <row r="4">
      <c r="A4" s="14" t="inlineStr">
        <is>
          <t>sublinea_a_id</t>
        </is>
      </c>
      <c r="B4" s="14" t="inlineStr">
        <is>
          <t>sublinea_a_nombre</t>
        </is>
      </c>
      <c r="C4" s="14" t="inlineStr">
        <is>
          <t>sublinea_b_id</t>
        </is>
      </c>
      <c r="D4" s="14" t="inlineStr">
        <is>
          <t>sublinea_b_nombre</t>
        </is>
      </c>
      <c r="E4" s="14" t="inlineStr">
        <is>
          <t>afinidad</t>
        </is>
      </c>
      <c r="F4" s="14" t="inlineStr">
        <is>
          <t>razonamiento</t>
        </is>
      </c>
      <c r="G4" s="14" t="inlineStr">
        <is>
          <t>estado</t>
        </is>
      </c>
    </row>
    <row r="5">
      <c r="A5" s="17" t="inlineStr">
        <is>
          <t>SUB-04</t>
        </is>
      </c>
      <c r="B5" s="17" t="inlineStr">
        <is>
          <t>Adaptabilidad urbana ante riesgos costeros</t>
        </is>
      </c>
      <c r="C5" s="17" t="inlineStr">
        <is>
          <t>SUB-30</t>
        </is>
      </c>
      <c r="D5" s="17" t="inlineStr">
        <is>
          <t>Vulnerabilidad física de asentamientos costeros</t>
        </is>
      </c>
      <c r="E5" s="18" t="n">
        <v>0.9</v>
      </c>
      <c r="F5" s="17" t="inlineStr">
        <is>
          <t>Adaptabilidad y vulnerabilidad costera son caras complementarias del mismo problema.</t>
        </is>
      </c>
      <c r="G5" s="17" t="inlineStr">
        <is>
          <t>INFERIDO</t>
        </is>
      </c>
    </row>
    <row r="6">
      <c r="A6" s="17" t="inlineStr">
        <is>
          <t>SUB-14</t>
        </is>
      </c>
      <c r="B6" s="17" t="inlineStr">
        <is>
          <t>Espacios de aprendizaje en contextos vulnerables</t>
        </is>
      </c>
      <c r="C6" s="17" t="inlineStr">
        <is>
          <t>SUB-16</t>
        </is>
      </c>
      <c r="D6" s="17" t="inlineStr">
        <is>
          <t>Espacios educativos en contextos vulnerables</t>
        </is>
      </c>
      <c r="E6" s="18" t="n">
        <v>0.9</v>
      </c>
      <c r="F6" s="17" t="inlineStr">
        <is>
          <t>Aprendizaje y espacios educativos en contextos vulnerables son lecturas casi solapadas.</t>
        </is>
      </c>
      <c r="G6" s="17" t="inlineStr">
        <is>
          <t>INFERIDO</t>
        </is>
      </c>
    </row>
    <row r="7">
      <c r="A7" s="17" t="inlineStr">
        <is>
          <t>SUB-01</t>
        </is>
      </c>
      <c r="B7" s="17" t="inlineStr">
        <is>
          <t>Accesibilidad cognitiva y codiseño</t>
        </is>
      </c>
      <c r="C7" s="17" t="inlineStr">
        <is>
          <t>SUB-02</t>
        </is>
      </c>
      <c r="D7" s="17" t="inlineStr">
        <is>
          <t>Accesibilidad e inclusión</t>
        </is>
      </c>
      <c r="E7" s="18" t="n">
        <v>0.85</v>
      </c>
      <c r="F7" s="17" t="inlineStr">
        <is>
          <t>La accesibilidad cognitiva es un caso específico del marco de accesibilidad e inclusión.</t>
        </is>
      </c>
      <c r="G7" s="17" t="inlineStr">
        <is>
          <t>INFERIDO</t>
        </is>
      </c>
    </row>
    <row r="8">
      <c r="A8" s="17" t="inlineStr">
        <is>
          <t>SUB-04</t>
        </is>
      </c>
      <c r="B8" s="17" t="inlineStr">
        <is>
          <t>Adaptabilidad urbana ante riesgos costeros</t>
        </is>
      </c>
      <c r="C8" s="17" t="inlineStr">
        <is>
          <t>SUB-05</t>
        </is>
      </c>
      <c r="D8" s="17" t="inlineStr">
        <is>
          <t>Adaptación formal ante desastres</t>
        </is>
      </c>
      <c r="E8" s="18" t="n">
        <v>0.85</v>
      </c>
      <c r="F8" s="17" t="inlineStr">
        <is>
          <t>Riesgos costeros y desastres comparten marco analítico y operativo.</t>
        </is>
      </c>
      <c r="G8" s="17" t="inlineStr">
        <is>
          <t>INFERIDO</t>
        </is>
      </c>
    </row>
    <row r="9">
      <c r="A9" s="17" t="inlineStr">
        <is>
          <t>SUB-09</t>
        </is>
      </c>
      <c r="B9" s="17" t="inlineStr">
        <is>
          <t>Diseño de espacios educativos</t>
        </is>
      </c>
      <c r="C9" s="17" t="inlineStr">
        <is>
          <t>SUB-16</t>
        </is>
      </c>
      <c r="D9" s="17" t="inlineStr">
        <is>
          <t>Espacios educativos en contextos vulnerables</t>
        </is>
      </c>
      <c r="E9" s="18" t="n">
        <v>0.85</v>
      </c>
      <c r="F9" s="17" t="inlineStr">
        <is>
          <t>Espacios educativos vulnerables es subdominio directo.</t>
        </is>
      </c>
      <c r="G9" s="17" t="inlineStr">
        <is>
          <t>INFERIDO</t>
        </is>
      </c>
    </row>
    <row r="10">
      <c r="A10" s="17" t="inlineStr">
        <is>
          <t>SUB-09</t>
        </is>
      </c>
      <c r="B10" s="17" t="inlineStr">
        <is>
          <t>Diseño de espacios educativos</t>
        </is>
      </c>
      <c r="C10" s="17" t="inlineStr">
        <is>
          <t>SUB-23</t>
        </is>
      </c>
      <c r="D10" s="17" t="inlineStr">
        <is>
          <t>Programas educativos y espacios escolares</t>
        </is>
      </c>
      <c r="E10" s="18" t="n">
        <v>0.85</v>
      </c>
      <c r="F10" s="17" t="inlineStr">
        <is>
          <t>Programas educativos definen los requisitos del espacio.</t>
        </is>
      </c>
      <c r="G10" s="17" t="inlineStr">
        <is>
          <t>INFERIDO</t>
        </is>
      </c>
    </row>
    <row r="11">
      <c r="A11" s="17" t="inlineStr">
        <is>
          <t>SUB-01</t>
        </is>
      </c>
      <c r="B11" s="17" t="inlineStr">
        <is>
          <t>Accesibilidad cognitiva y codiseño</t>
        </is>
      </c>
      <c r="C11" s="17" t="inlineStr">
        <is>
          <t>SUB-07</t>
        </is>
      </c>
      <c r="D11" s="17" t="inlineStr">
        <is>
          <t>Comunicación aumentativa y alternativa</t>
        </is>
      </c>
      <c r="E11" s="18" t="n">
        <v>0.8</v>
      </c>
      <c r="F11" s="17" t="inlineStr">
        <is>
          <t>CAA es la aplicación operativa más directa de la accesibilidad cognitiva.</t>
        </is>
      </c>
      <c r="G11" s="17" t="inlineStr">
        <is>
          <t>INFERIDO</t>
        </is>
      </c>
    </row>
    <row r="12">
      <c r="A12" s="17" t="inlineStr">
        <is>
          <t>SUB-05</t>
        </is>
      </c>
      <c r="B12" s="17" t="inlineStr">
        <is>
          <t>Adaptación formal ante desastres</t>
        </is>
      </c>
      <c r="C12" s="17" t="inlineStr">
        <is>
          <t>SUB-30</t>
        </is>
      </c>
      <c r="D12" s="17" t="inlineStr">
        <is>
          <t>Vulnerabilidad física de asentamientos costeros</t>
        </is>
      </c>
      <c r="E12" s="18" t="n">
        <v>0.8</v>
      </c>
      <c r="F12" s="17" t="inlineStr">
        <is>
          <t>Vulnerabilidad costera es la causa que la adaptación formal aborda.</t>
        </is>
      </c>
      <c r="G12" s="17" t="inlineStr">
        <is>
          <t>INFERIDO</t>
        </is>
      </c>
    </row>
    <row r="13">
      <c r="A13" s="17" t="inlineStr">
        <is>
          <t>SUB-09</t>
        </is>
      </c>
      <c r="B13" s="17" t="inlineStr">
        <is>
          <t>Diseño de espacios educativos</t>
        </is>
      </c>
      <c r="C13" s="17" t="inlineStr">
        <is>
          <t>SUB-24</t>
        </is>
      </c>
      <c r="D13" s="17" t="inlineStr">
        <is>
          <t>Proyecto de arquitectura escolar</t>
        </is>
      </c>
      <c r="E13" s="18" t="n">
        <v>0.8</v>
      </c>
      <c r="F13" s="17" t="inlineStr">
        <is>
          <t>Proyecto escolar es el caso paradigmático del diseño educativo.</t>
        </is>
      </c>
      <c r="G13" s="17" t="inlineStr">
        <is>
          <t>INFERIDO</t>
        </is>
      </c>
    </row>
    <row r="14">
      <c r="A14" s="17" t="inlineStr">
        <is>
          <t>SUB-23</t>
        </is>
      </c>
      <c r="B14" s="17" t="inlineStr">
        <is>
          <t>Programas educativos y espacios escolares</t>
        </is>
      </c>
      <c r="C14" s="17" t="inlineStr">
        <is>
          <t>SUB-24</t>
        </is>
      </c>
      <c r="D14" s="17" t="inlineStr">
        <is>
          <t>Proyecto de arquitectura escolar</t>
        </is>
      </c>
      <c r="E14" s="18" t="n">
        <v>0.8</v>
      </c>
      <c r="F14" s="17" t="inlineStr">
        <is>
          <t>Programas educativos sustentan la pregunta del proyecto de arquitectura escolar.</t>
        </is>
      </c>
      <c r="G14" s="17" t="inlineStr">
        <is>
          <t>INFERIDO</t>
        </is>
      </c>
    </row>
    <row r="15">
      <c r="A15" s="17" t="inlineStr">
        <is>
          <t>SUB-25</t>
        </is>
      </c>
      <c r="B15" s="17" t="inlineStr">
        <is>
          <t>Saberes técnicos análogos</t>
        </is>
      </c>
      <c r="C15" s="17" t="inlineStr">
        <is>
          <t>SUB-27</t>
        </is>
      </c>
      <c r="D15" s="17" t="inlineStr">
        <is>
          <t>Transferencia de medios tecnológicos con aplicación al emprendimiento local</t>
        </is>
      </c>
      <c r="E15" s="18" t="n">
        <v>0.8</v>
      </c>
      <c r="F15" s="17" t="inlineStr">
        <is>
          <t>Saberes técnicos análogos y transferencia tecnológica son caras del mismo programa.</t>
        </is>
      </c>
      <c r="G15" s="17" t="inlineStr">
        <is>
          <t>INFERIDO</t>
        </is>
      </c>
    </row>
    <row r="16">
      <c r="A16" s="17" t="inlineStr">
        <is>
          <t>SUB-02</t>
        </is>
      </c>
      <c r="B16" s="17" t="inlineStr">
        <is>
          <t>Accesibilidad e inclusión</t>
        </is>
      </c>
      <c r="C16" s="17" t="inlineStr">
        <is>
          <t>SUB-11</t>
        </is>
      </c>
      <c r="D16" s="17" t="inlineStr">
        <is>
          <t>Diseño y vida independiente</t>
        </is>
      </c>
      <c r="E16" s="18" t="n">
        <v>0.75</v>
      </c>
      <c r="F16" s="17" t="inlineStr">
        <is>
          <t>Vida independiente es el horizonte de la inclusión.</t>
        </is>
      </c>
      <c r="G16" s="17" t="inlineStr">
        <is>
          <t>INFERIDO</t>
        </is>
      </c>
    </row>
    <row r="17">
      <c r="A17" s="17" t="inlineStr">
        <is>
          <t>SUB-03</t>
        </is>
      </c>
      <c r="B17" s="17" t="inlineStr">
        <is>
          <t>Acervo histórico de Ciudad Abierta y de la Escuela de Arquitectura y Diseño</t>
        </is>
      </c>
      <c r="C17" s="17" t="inlineStr">
        <is>
          <t>SUB-26</t>
        </is>
      </c>
      <c r="D17" s="17" t="inlineStr">
        <is>
          <t>Teoría e historia de la arquitectura</t>
        </is>
      </c>
      <c r="E17" s="18" t="n">
        <v>0.75</v>
      </c>
      <c r="F17" s="17" t="inlineStr">
        <is>
          <t>Teoría e historia se nutren del acervo institucional.</t>
        </is>
      </c>
      <c r="G17" s="17" t="inlineStr">
        <is>
          <t>INFERIDO</t>
        </is>
      </c>
    </row>
    <row r="18">
      <c r="A18" s="17" t="inlineStr">
        <is>
          <t>SUB-06</t>
        </is>
      </c>
      <c r="B18" s="17" t="inlineStr">
        <is>
          <t>Arquitectura como medio didáctico</t>
        </is>
      </c>
      <c r="C18" s="17" t="inlineStr">
        <is>
          <t>SUB-19</t>
        </is>
      </c>
      <c r="D18" s="17" t="inlineStr">
        <is>
          <t>Medios de aprendizaje en arquitectura y diseño</t>
        </is>
      </c>
      <c r="E18" s="18" t="n">
        <v>0.75</v>
      </c>
      <c r="F18" s="17" t="inlineStr">
        <is>
          <t>Medios de aprendizaje son el correlato instrumental del medio didáctico.</t>
        </is>
      </c>
      <c r="G18" s="17" t="inlineStr">
        <is>
          <t>INFERIDO</t>
        </is>
      </c>
    </row>
    <row r="19">
      <c r="A19" s="17" t="inlineStr">
        <is>
          <t>SUB-06</t>
        </is>
      </c>
      <c r="B19" s="17" t="inlineStr">
        <is>
          <t>Arquitectura como medio didáctico</t>
        </is>
      </c>
      <c r="C19" s="17" t="inlineStr">
        <is>
          <t>SUB-24</t>
        </is>
      </c>
      <c r="D19" s="17" t="inlineStr">
        <is>
          <t>Proyecto de arquitectura escolar</t>
        </is>
      </c>
      <c r="E19" s="18" t="n">
        <v>0.75</v>
      </c>
      <c r="F19" s="17" t="inlineStr">
        <is>
          <t>El proyecto escolar es la forma máxima del medio didáctico.</t>
        </is>
      </c>
      <c r="G19" s="17" t="inlineStr">
        <is>
          <t>INFERIDO</t>
        </is>
      </c>
    </row>
    <row r="20">
      <c r="A20" s="17" t="inlineStr">
        <is>
          <t>SUB-09</t>
        </is>
      </c>
      <c r="B20" s="17" t="inlineStr">
        <is>
          <t>Diseño de espacios educativos</t>
        </is>
      </c>
      <c r="C20" s="17" t="inlineStr">
        <is>
          <t>SUB-14</t>
        </is>
      </c>
      <c r="D20" s="17" t="inlineStr">
        <is>
          <t>Espacios de aprendizaje en contextos vulnerables</t>
        </is>
      </c>
      <c r="E20" s="18" t="n">
        <v>0.75</v>
      </c>
      <c r="F20" s="17" t="inlineStr">
        <is>
          <t>Aprendizaje en contextos vulnerables exige espacios educativos pensados.</t>
        </is>
      </c>
      <c r="G20" s="17" t="inlineStr">
        <is>
          <t>INFERIDO</t>
        </is>
      </c>
    </row>
    <row r="21">
      <c r="A21" s="17" t="inlineStr">
        <is>
          <t>SUB-18</t>
        </is>
      </c>
      <c r="B21" s="17" t="inlineStr">
        <is>
          <t>Industrias creativas e innovación social para el desarrollo local</t>
        </is>
      </c>
      <c r="C21" s="17" t="inlineStr">
        <is>
          <t>SUB-27</t>
        </is>
      </c>
      <c r="D21" s="17" t="inlineStr">
        <is>
          <t>Transferencia de medios tecnológicos con aplicación al emprendimiento local</t>
        </is>
      </c>
      <c r="E21" s="18" t="n">
        <v>0.75</v>
      </c>
      <c r="F21" s="17" t="inlineStr">
        <is>
          <t>Transferencia tecnológica es vector clave del emprendimiento local.</t>
        </is>
      </c>
      <c r="G21" s="17" t="inlineStr">
        <is>
          <t>INFERIDO</t>
        </is>
      </c>
    </row>
    <row r="22">
      <c r="A22" s="17" t="inlineStr">
        <is>
          <t>SUB-21</t>
        </is>
      </c>
      <c r="B22" s="17" t="inlineStr">
        <is>
          <t>Perspectivas decoloniales</t>
        </is>
      </c>
      <c r="C22" s="17" t="inlineStr">
        <is>
          <t>SUB-29</t>
        </is>
      </c>
      <c r="D22" s="17" t="inlineStr">
        <is>
          <t>Urbanización, urbanismo y ecología política</t>
        </is>
      </c>
      <c r="E22" s="18" t="n">
        <v>0.75</v>
      </c>
      <c r="F22" s="17" t="inlineStr">
        <is>
          <t>Ecología política urbana lee la urbanización en clave decolonial.</t>
        </is>
      </c>
      <c r="G22" s="17" t="inlineStr">
        <is>
          <t>INFERIDO</t>
        </is>
      </c>
    </row>
    <row r="23">
      <c r="A23" s="19" t="inlineStr">
        <is>
          <t>SUB-01</t>
        </is>
      </c>
      <c r="B23" s="19" t="inlineStr">
        <is>
          <t>Accesibilidad cognitiva y codiseño</t>
        </is>
      </c>
      <c r="C23" s="19" t="inlineStr">
        <is>
          <t>SUB-11</t>
        </is>
      </c>
      <c r="D23" s="19" t="inlineStr">
        <is>
          <t>Diseño y vida independiente</t>
        </is>
      </c>
      <c r="E23" s="20" t="n">
        <v>0.7</v>
      </c>
      <c r="F23" s="19" t="inlineStr">
        <is>
          <t>Codiseño orientado a sostener la autonomía y vida independiente.</t>
        </is>
      </c>
      <c r="G23" s="19" t="inlineStr">
        <is>
          <t>INFERIDO</t>
        </is>
      </c>
    </row>
    <row r="24">
      <c r="A24" s="19" t="inlineStr">
        <is>
          <t>SUB-03</t>
        </is>
      </c>
      <c r="B24" s="19" t="inlineStr">
        <is>
          <t>Acervo histórico de Ciudad Abierta y de la Escuela de Arquitectura y Diseño</t>
        </is>
      </c>
      <c r="C24" s="19" t="inlineStr">
        <is>
          <t>SUB-28</t>
        </is>
      </c>
      <c r="D24" s="19" t="inlineStr">
        <is>
          <t>Travesías y geopoética</t>
        </is>
      </c>
      <c r="E24" s="20" t="n">
        <v>0.7</v>
      </c>
      <c r="F24" s="19" t="inlineStr">
        <is>
          <t>Travesías son parte central del acervo histórico de la Escuela.</t>
        </is>
      </c>
      <c r="G24" s="19" t="inlineStr">
        <is>
          <t>INFERIDO</t>
        </is>
      </c>
    </row>
    <row r="25">
      <c r="A25" s="19" t="inlineStr">
        <is>
          <t>SUB-06</t>
        </is>
      </c>
      <c r="B25" s="19" t="inlineStr">
        <is>
          <t>Arquitectura como medio didáctico</t>
        </is>
      </c>
      <c r="C25" s="19" t="inlineStr">
        <is>
          <t>SUB-09</t>
        </is>
      </c>
      <c r="D25" s="19" t="inlineStr">
        <is>
          <t>Diseño de espacios educativos</t>
        </is>
      </c>
      <c r="E25" s="20" t="n">
        <v>0.7</v>
      </c>
      <c r="F25" s="19" t="inlineStr">
        <is>
          <t>Arquitectura como medio didáctico se realiza en el diseño de espacios educativos.</t>
        </is>
      </c>
      <c r="G25" s="19" t="inlineStr">
        <is>
          <t>INFERIDO</t>
        </is>
      </c>
    </row>
    <row r="26">
      <c r="A26" s="19" t="inlineStr">
        <is>
          <t>SUB-08</t>
        </is>
      </c>
      <c r="B26" s="19" t="inlineStr">
        <is>
          <t>Diseño arquitectónico</t>
        </is>
      </c>
      <c r="C26" s="19" t="inlineStr">
        <is>
          <t>SUB-13</t>
        </is>
      </c>
      <c r="D26" s="19" t="inlineStr">
        <is>
          <t>El vacío arquitectónico</t>
        </is>
      </c>
      <c r="E26" s="20" t="n">
        <v>0.7</v>
      </c>
      <c r="F26" s="19" t="inlineStr">
        <is>
          <t>El vacío arquitectónico es categoría central del diseño arquitectónico.</t>
        </is>
      </c>
      <c r="G26" s="19" t="inlineStr">
        <is>
          <t>INFERIDO</t>
        </is>
      </c>
    </row>
    <row r="27">
      <c r="A27" s="19" t="inlineStr">
        <is>
          <t>SUB-13</t>
        </is>
      </c>
      <c r="B27" s="19" t="inlineStr">
        <is>
          <t>El vacío arquitectónico</t>
        </is>
      </c>
      <c r="C27" s="19" t="inlineStr">
        <is>
          <t>SUB-26</t>
        </is>
      </c>
      <c r="D27" s="19" t="inlineStr">
        <is>
          <t>Teoría e historia de la arquitectura</t>
        </is>
      </c>
      <c r="E27" s="20" t="n">
        <v>0.7</v>
      </c>
      <c r="F27" s="19" t="inlineStr">
        <is>
          <t>El vacío es categoría teórico-arquitectónica de raíz e[ad].</t>
        </is>
      </c>
      <c r="G27" s="19" t="inlineStr">
        <is>
          <t>INFERIDO</t>
        </is>
      </c>
    </row>
    <row r="28">
      <c r="A28" s="19" t="inlineStr">
        <is>
          <t>SUB-21</t>
        </is>
      </c>
      <c r="B28" s="19" t="inlineStr">
        <is>
          <t>Perspectivas decoloniales</t>
        </is>
      </c>
      <c r="C28" s="19" t="inlineStr">
        <is>
          <t>SUB-22</t>
        </is>
      </c>
      <c r="D28" s="19" t="inlineStr">
        <is>
          <t>Prácticas colectivas</t>
        </is>
      </c>
      <c r="E28" s="20" t="n">
        <v>0.7</v>
      </c>
      <c r="F28" s="19" t="inlineStr">
        <is>
          <t>Prácticas colectivas son una vía decolonial de producción del habitar.</t>
        </is>
      </c>
      <c r="G28" s="19" t="inlineStr">
        <is>
          <t>INFERIDO</t>
        </is>
      </c>
    </row>
    <row r="29">
      <c r="A29" s="19" t="inlineStr">
        <is>
          <t>SUB-01</t>
        </is>
      </c>
      <c r="B29" s="19" t="inlineStr">
        <is>
          <t>Accesibilidad cognitiva y codiseño</t>
        </is>
      </c>
      <c r="C29" s="19" t="inlineStr">
        <is>
          <t>SUB-10</t>
        </is>
      </c>
      <c r="D29" s="19" t="inlineStr">
        <is>
          <t>Diseño de interacción, servicios y experiencia de usuario</t>
        </is>
      </c>
      <c r="E29" s="20" t="n">
        <v>0.65</v>
      </c>
      <c r="F29" s="19" t="inlineStr">
        <is>
          <t>Codiseño es práctica de diseño de interacción centrado en personas.</t>
        </is>
      </c>
      <c r="G29" s="19" t="inlineStr">
        <is>
          <t>INFERIDO</t>
        </is>
      </c>
    </row>
    <row r="30">
      <c r="A30" s="19" t="inlineStr">
        <is>
          <t>SUB-02</t>
        </is>
      </c>
      <c r="B30" s="19" t="inlineStr">
        <is>
          <t>Accesibilidad e inclusión</t>
        </is>
      </c>
      <c r="C30" s="19" t="inlineStr">
        <is>
          <t>SUB-07</t>
        </is>
      </c>
      <c r="D30" s="19" t="inlineStr">
        <is>
          <t>Comunicación aumentativa y alternativa</t>
        </is>
      </c>
      <c r="E30" s="20" t="n">
        <v>0.65</v>
      </c>
      <c r="F30" s="19" t="inlineStr">
        <is>
          <t>CAA es la dimensión comunicacional de la inclusión.</t>
        </is>
      </c>
      <c r="G30" s="19" t="inlineStr">
        <is>
          <t>INFERIDO</t>
        </is>
      </c>
    </row>
    <row r="31">
      <c r="A31" s="19" t="inlineStr">
        <is>
          <t>SUB-03</t>
        </is>
      </c>
      <c r="B31" s="19" t="inlineStr">
        <is>
          <t>Acervo histórico de Ciudad Abierta y de la Escuela de Arquitectura y Diseño</t>
        </is>
      </c>
      <c r="C31" s="19" t="inlineStr">
        <is>
          <t>SUB-12</t>
        </is>
      </c>
      <c r="D31" s="19" t="inlineStr">
        <is>
          <t>El sentido de la hospitalidad</t>
        </is>
      </c>
      <c r="E31" s="20" t="n">
        <v>0.65</v>
      </c>
      <c r="F31" s="19" t="inlineStr">
        <is>
          <t>La hospitalidad es categoría central del acervo de la EAD.</t>
        </is>
      </c>
      <c r="G31" s="19" t="inlineStr">
        <is>
          <t>INFERIDO</t>
        </is>
      </c>
    </row>
    <row r="32">
      <c r="A32" s="19" t="inlineStr">
        <is>
          <t>SUB-03</t>
        </is>
      </c>
      <c r="B32" s="19" t="inlineStr">
        <is>
          <t>Acervo histórico de Ciudad Abierta y de la Escuela de Arquitectura y Diseño</t>
        </is>
      </c>
      <c r="C32" s="19" t="inlineStr">
        <is>
          <t>SUB-13</t>
        </is>
      </c>
      <c r="D32" s="19" t="inlineStr">
        <is>
          <t>El vacío arquitectónico</t>
        </is>
      </c>
      <c r="E32" s="20" t="n">
        <v>0.65</v>
      </c>
      <c r="F32" s="19" t="inlineStr">
        <is>
          <t>El vacío arquitectónico es concepto formado en el acervo de la Escuela.</t>
        </is>
      </c>
      <c r="G32" s="19" t="inlineStr">
        <is>
          <t>INFERIDO</t>
        </is>
      </c>
    </row>
    <row r="33">
      <c r="A33" s="19" t="inlineStr">
        <is>
          <t>SUB-07</t>
        </is>
      </c>
      <c r="B33" s="19" t="inlineStr">
        <is>
          <t>Comunicación aumentativa y alternativa</t>
        </is>
      </c>
      <c r="C33" s="19" t="inlineStr">
        <is>
          <t>SUB-11</t>
        </is>
      </c>
      <c r="D33" s="19" t="inlineStr">
        <is>
          <t>Diseño y vida independiente</t>
        </is>
      </c>
      <c r="E33" s="20" t="n">
        <v>0.65</v>
      </c>
      <c r="F33" s="19" t="inlineStr">
        <is>
          <t>CAA es condición de comunicación para la vida independiente.</t>
        </is>
      </c>
      <c r="G33" s="19" t="inlineStr">
        <is>
          <t>INFERIDO</t>
        </is>
      </c>
    </row>
    <row r="34">
      <c r="A34" s="19" t="inlineStr">
        <is>
          <t>SUB-08</t>
        </is>
      </c>
      <c r="B34" s="19" t="inlineStr">
        <is>
          <t>Diseño arquitectónico</t>
        </is>
      </c>
      <c r="C34" s="19" t="inlineStr">
        <is>
          <t>SUB-24</t>
        </is>
      </c>
      <c r="D34" s="19" t="inlineStr">
        <is>
          <t>Proyecto de arquitectura escolar</t>
        </is>
      </c>
      <c r="E34" s="20" t="n">
        <v>0.65</v>
      </c>
      <c r="F34" s="19" t="inlineStr">
        <is>
          <t>Proyecto escolar es un caso de diseño arquitectónico.</t>
        </is>
      </c>
      <c r="G34" s="19" t="inlineStr">
        <is>
          <t>INFERIDO</t>
        </is>
      </c>
    </row>
    <row r="35">
      <c r="A35" s="19" t="inlineStr">
        <is>
          <t>SUB-08</t>
        </is>
      </c>
      <c r="B35" s="19" t="inlineStr">
        <is>
          <t>Diseño arquitectónico</t>
        </is>
      </c>
      <c r="C35" s="19" t="inlineStr">
        <is>
          <t>SUB-26</t>
        </is>
      </c>
      <c r="D35" s="19" t="inlineStr">
        <is>
          <t>Teoría e historia de la arquitectura</t>
        </is>
      </c>
      <c r="E35" s="20" t="n">
        <v>0.65</v>
      </c>
      <c r="F35" s="19" t="inlineStr">
        <is>
          <t>Teoría e historia fundamentan el diseño arquitectónico.</t>
        </is>
      </c>
      <c r="G35" s="19" t="inlineStr">
        <is>
          <t>INFERIDO</t>
        </is>
      </c>
    </row>
    <row r="36">
      <c r="A36" s="19" t="inlineStr">
        <is>
          <t>SUB-09</t>
        </is>
      </c>
      <c r="B36" s="19" t="inlineStr">
        <is>
          <t>Diseño de espacios educativos</t>
        </is>
      </c>
      <c r="C36" s="19" t="inlineStr">
        <is>
          <t>SUB-15</t>
        </is>
      </c>
      <c r="D36" s="19" t="inlineStr">
        <is>
          <t>Espacios de estimulación temprana</t>
        </is>
      </c>
      <c r="E36" s="20" t="n">
        <v>0.65</v>
      </c>
      <c r="F36" s="19" t="inlineStr">
        <is>
          <t>Estimulación temprana requiere diseño específico de espacio.</t>
        </is>
      </c>
      <c r="G36" s="19" t="inlineStr">
        <is>
          <t>INFERIDO</t>
        </is>
      </c>
    </row>
    <row r="37">
      <c r="A37" s="19" t="inlineStr">
        <is>
          <t>SUB-14</t>
        </is>
      </c>
      <c r="B37" s="19" t="inlineStr">
        <is>
          <t>Espacios de aprendizaje en contextos vulnerables</t>
        </is>
      </c>
      <c r="C37" s="19" t="inlineStr">
        <is>
          <t>SUB-15</t>
        </is>
      </c>
      <c r="D37" s="19" t="inlineStr">
        <is>
          <t>Espacios de estimulación temprana</t>
        </is>
      </c>
      <c r="E37" s="20" t="n">
        <v>0.65</v>
      </c>
      <c r="F37" s="19" t="inlineStr">
        <is>
          <t>Estimulación temprana ocurre frecuentemente en contextos vulnerables.</t>
        </is>
      </c>
      <c r="G37" s="19" t="inlineStr">
        <is>
          <t>INFERIDO</t>
        </is>
      </c>
    </row>
    <row r="38">
      <c r="A38" s="19" t="inlineStr">
        <is>
          <t>SUB-15</t>
        </is>
      </c>
      <c r="B38" s="19" t="inlineStr">
        <is>
          <t>Espacios de estimulación temprana</t>
        </is>
      </c>
      <c r="C38" s="19" t="inlineStr">
        <is>
          <t>SUB-16</t>
        </is>
      </c>
      <c r="D38" s="19" t="inlineStr">
        <is>
          <t>Espacios educativos en contextos vulnerables</t>
        </is>
      </c>
      <c r="E38" s="20" t="n">
        <v>0.65</v>
      </c>
      <c r="F38" s="19" t="inlineStr">
        <is>
          <t>Estimulación temprana suele desarrollarse en contextos vulnerables.</t>
        </is>
      </c>
      <c r="G38" s="19" t="inlineStr">
        <is>
          <t>INFERIDO</t>
        </is>
      </c>
    </row>
    <row r="39">
      <c r="A39" s="19" t="inlineStr">
        <is>
          <t>SUB-16</t>
        </is>
      </c>
      <c r="B39" s="19" t="inlineStr">
        <is>
          <t>Espacios educativos en contextos vulnerables</t>
        </is>
      </c>
      <c r="C39" s="19" t="inlineStr">
        <is>
          <t>SUB-23</t>
        </is>
      </c>
      <c r="D39" s="19" t="inlineStr">
        <is>
          <t>Programas educativos y espacios escolares</t>
        </is>
      </c>
      <c r="E39" s="20" t="n">
        <v>0.65</v>
      </c>
      <c r="F39" s="19" t="inlineStr">
        <is>
          <t>Programas educativos definen los espacios para contextos vulnerables.</t>
        </is>
      </c>
      <c r="G39" s="19" t="inlineStr">
        <is>
          <t>INFERIDO</t>
        </is>
      </c>
    </row>
    <row r="40">
      <c r="A40" s="19" t="inlineStr">
        <is>
          <t>SUB-17</t>
        </is>
      </c>
      <c r="B40" s="19" t="inlineStr">
        <is>
          <t>Formación en pensamiento y acción creativa</t>
        </is>
      </c>
      <c r="C40" s="19" t="inlineStr">
        <is>
          <t>SUB-20</t>
        </is>
      </c>
      <c r="D40" s="19" t="inlineStr">
        <is>
          <t>Métodos de diseño</t>
        </is>
      </c>
      <c r="E40" s="20" t="n">
        <v>0.65</v>
      </c>
      <c r="F40" s="19" t="inlineStr">
        <is>
          <t>Métodos de diseño formalizan el pensamiento y acción creativa.</t>
        </is>
      </c>
      <c r="G40" s="19" t="inlineStr">
        <is>
          <t>INFERIDO</t>
        </is>
      </c>
    </row>
    <row r="41">
      <c r="A41" s="19" t="inlineStr">
        <is>
          <t>SUB-21</t>
        </is>
      </c>
      <c r="B41" s="19" t="inlineStr">
        <is>
          <t>Perspectivas decoloniales</t>
        </is>
      </c>
      <c r="C41" s="19" t="inlineStr">
        <is>
          <t>SUB-28</t>
        </is>
      </c>
      <c r="D41" s="19" t="inlineStr">
        <is>
          <t>Travesías y geopoética</t>
        </is>
      </c>
      <c r="E41" s="20" t="n">
        <v>0.65</v>
      </c>
      <c r="F41" s="19" t="inlineStr">
        <is>
          <t>Travesías y Amereida son matriz histórica del giro decolonial e[ad].</t>
        </is>
      </c>
      <c r="G41" s="19" t="inlineStr">
        <is>
          <t>INFERIDO</t>
        </is>
      </c>
    </row>
    <row r="42">
      <c r="A42" s="19" t="inlineStr">
        <is>
          <t>SUB-22</t>
        </is>
      </c>
      <c r="B42" s="19" t="inlineStr">
        <is>
          <t>Prácticas colectivas</t>
        </is>
      </c>
      <c r="C42" s="19" t="inlineStr">
        <is>
          <t>SUB-29</t>
        </is>
      </c>
      <c r="D42" s="19" t="inlineStr">
        <is>
          <t>Urbanización, urbanismo y ecología política</t>
        </is>
      </c>
      <c r="E42" s="20" t="n">
        <v>0.65</v>
      </c>
      <c r="F42" s="19" t="inlineStr">
        <is>
          <t>Prácticas colectivas ocurren en y sobre la urbanización.</t>
        </is>
      </c>
      <c r="G42" s="19" t="inlineStr">
        <is>
          <t>INFERIDO</t>
        </is>
      </c>
    </row>
    <row r="43">
      <c r="A43" s="19" t="inlineStr">
        <is>
          <t>SUB-12</t>
        </is>
      </c>
      <c r="B43" s="19" t="inlineStr">
        <is>
          <t>El sentido de la hospitalidad</t>
        </is>
      </c>
      <c r="C43" s="19" t="inlineStr">
        <is>
          <t>SUB-28</t>
        </is>
      </c>
      <c r="D43" s="19" t="inlineStr">
        <is>
          <t>Travesías y geopoética</t>
        </is>
      </c>
      <c r="E43" s="20" t="n">
        <v>0.6</v>
      </c>
      <c r="F43" s="19" t="inlineStr">
        <is>
          <t>Hospitalidad y travesías están enlazadas en la tradición de Amereida.</t>
        </is>
      </c>
      <c r="G43" s="19" t="inlineStr">
        <is>
          <t>INFERIDO</t>
        </is>
      </c>
    </row>
    <row r="44">
      <c r="A44" s="19" t="inlineStr">
        <is>
          <t>SUB-01</t>
        </is>
      </c>
      <c r="B44" s="19" t="inlineStr">
        <is>
          <t>Accesibilidad cognitiva y codiseño</t>
        </is>
      </c>
      <c r="C44" s="19" t="inlineStr">
        <is>
          <t>SUB-15</t>
        </is>
      </c>
      <c r="D44" s="19" t="inlineStr">
        <is>
          <t>Espacios de estimulación temprana</t>
        </is>
      </c>
      <c r="E44" s="20" t="n">
        <v>0.55</v>
      </c>
      <c r="F44" s="19" t="inlineStr">
        <is>
          <t>Estimulación temprana opera con principios de accesibilidad cognitiva infantil.</t>
        </is>
      </c>
      <c r="G44" s="19" t="inlineStr">
        <is>
          <t>INFERIDO</t>
        </is>
      </c>
    </row>
    <row r="45">
      <c r="A45" s="19" t="inlineStr">
        <is>
          <t>SUB-01</t>
        </is>
      </c>
      <c r="B45" s="19" t="inlineStr">
        <is>
          <t>Accesibilidad cognitiva y codiseño</t>
        </is>
      </c>
      <c r="C45" s="19" t="inlineStr">
        <is>
          <t>SUB-20</t>
        </is>
      </c>
      <c r="D45" s="19" t="inlineStr">
        <is>
          <t>Métodos de diseño</t>
        </is>
      </c>
      <c r="E45" s="20" t="n">
        <v>0.55</v>
      </c>
      <c r="F45" s="19" t="inlineStr">
        <is>
          <t>El codiseño es un método de diseño consolidado.</t>
        </is>
      </c>
      <c r="G45" s="19" t="inlineStr">
        <is>
          <t>INFERIDO</t>
        </is>
      </c>
    </row>
    <row r="46">
      <c r="A46" s="19" t="inlineStr">
        <is>
          <t>SUB-02</t>
        </is>
      </c>
      <c r="B46" s="19" t="inlineStr">
        <is>
          <t>Accesibilidad e inclusión</t>
        </is>
      </c>
      <c r="C46" s="19" t="inlineStr">
        <is>
          <t>SUB-12</t>
        </is>
      </c>
      <c r="D46" s="19" t="inlineStr">
        <is>
          <t>El sentido de la hospitalidad</t>
        </is>
      </c>
      <c r="E46" s="20" t="n">
        <v>0.55</v>
      </c>
      <c r="F46" s="19" t="inlineStr">
        <is>
          <t>La hospitalidad como categoría de inclusión radical.</t>
        </is>
      </c>
      <c r="G46" s="19" t="inlineStr">
        <is>
          <t>INFERIDO</t>
        </is>
      </c>
    </row>
    <row r="47">
      <c r="A47" s="19" t="inlineStr">
        <is>
          <t>SUB-04</t>
        </is>
      </c>
      <c r="B47" s="19" t="inlineStr">
        <is>
          <t>Adaptabilidad urbana ante riesgos costeros</t>
        </is>
      </c>
      <c r="C47" s="19" t="inlineStr">
        <is>
          <t>SUB-29</t>
        </is>
      </c>
      <c r="D47" s="19" t="inlineStr">
        <is>
          <t>Urbanización, urbanismo y ecología política</t>
        </is>
      </c>
      <c r="E47" s="20" t="n">
        <v>0.55</v>
      </c>
      <c r="F47" s="19" t="inlineStr">
        <is>
          <t>Adaptabilidad urbana costera entra en diálogo con ecología política urbana.</t>
        </is>
      </c>
      <c r="G47" s="19" t="inlineStr">
        <is>
          <t>INFERIDO</t>
        </is>
      </c>
    </row>
    <row r="48">
      <c r="A48" s="19" t="inlineStr">
        <is>
          <t>SUB-06</t>
        </is>
      </c>
      <c r="B48" s="19" t="inlineStr">
        <is>
          <t>Arquitectura como medio didáctico</t>
        </is>
      </c>
      <c r="C48" s="19" t="inlineStr">
        <is>
          <t>SUB-23</t>
        </is>
      </c>
      <c r="D48" s="19" t="inlineStr">
        <is>
          <t>Programas educativos y espacios escolares</t>
        </is>
      </c>
      <c r="E48" s="20" t="n">
        <v>0.55</v>
      </c>
      <c r="F48" s="19" t="inlineStr">
        <is>
          <t>Programas educativos se articulan con el medio didáctico arquitectónico.</t>
        </is>
      </c>
      <c r="G48" s="19" t="inlineStr">
        <is>
          <t>INFERIDO</t>
        </is>
      </c>
    </row>
    <row r="49">
      <c r="A49" s="19" t="inlineStr">
        <is>
          <t>SUB-07</t>
        </is>
      </c>
      <c r="B49" s="19" t="inlineStr">
        <is>
          <t>Comunicación aumentativa y alternativa</t>
        </is>
      </c>
      <c r="C49" s="19" t="inlineStr">
        <is>
          <t>SUB-10</t>
        </is>
      </c>
      <c r="D49" s="19" t="inlineStr">
        <is>
          <t>Diseño de interacción, servicios y experiencia de usuario</t>
        </is>
      </c>
      <c r="E49" s="20" t="n">
        <v>0.55</v>
      </c>
      <c r="F49" s="19" t="inlineStr">
        <is>
          <t>CAA modela formas específicas de interacción.</t>
        </is>
      </c>
      <c r="G49" s="19" t="inlineStr">
        <is>
          <t>INFERIDO</t>
        </is>
      </c>
    </row>
    <row r="50">
      <c r="A50" s="19" t="inlineStr">
        <is>
          <t>SUB-08</t>
        </is>
      </c>
      <c r="B50" s="19" t="inlineStr">
        <is>
          <t>Diseño arquitectónico</t>
        </is>
      </c>
      <c r="C50" s="19" t="inlineStr">
        <is>
          <t>SUB-20</t>
        </is>
      </c>
      <c r="D50" s="19" t="inlineStr">
        <is>
          <t>Métodos de diseño</t>
        </is>
      </c>
      <c r="E50" s="20" t="n">
        <v>0.55</v>
      </c>
      <c r="F50" s="19" t="inlineStr">
        <is>
          <t>Métodos de diseño se aplican al diseño arquitectónico.</t>
        </is>
      </c>
      <c r="G50" s="19" t="inlineStr">
        <is>
          <t>INFERIDO</t>
        </is>
      </c>
    </row>
    <row r="51">
      <c r="A51" s="19" t="inlineStr">
        <is>
          <t>SUB-09</t>
        </is>
      </c>
      <c r="B51" s="19" t="inlineStr">
        <is>
          <t>Diseño de espacios educativos</t>
        </is>
      </c>
      <c r="C51" s="19" t="inlineStr">
        <is>
          <t>SUB-19</t>
        </is>
      </c>
      <c r="D51" s="19" t="inlineStr">
        <is>
          <t>Medios de aprendizaje en arquitectura y diseño</t>
        </is>
      </c>
      <c r="E51" s="20" t="n">
        <v>0.55</v>
      </c>
      <c r="F51" s="19" t="inlineStr">
        <is>
          <t>Medios de aprendizaje habitan espacios educativos.</t>
        </is>
      </c>
      <c r="G51" s="19" t="inlineStr">
        <is>
          <t>INFERIDO</t>
        </is>
      </c>
    </row>
    <row r="52">
      <c r="A52" s="19" t="inlineStr">
        <is>
          <t>SUB-10</t>
        </is>
      </c>
      <c r="B52" s="19" t="inlineStr">
        <is>
          <t>Diseño de interacción, servicios y experiencia de usuario</t>
        </is>
      </c>
      <c r="C52" s="19" t="inlineStr">
        <is>
          <t>SUB-11</t>
        </is>
      </c>
      <c r="D52" s="19" t="inlineStr">
        <is>
          <t>Diseño y vida independiente</t>
        </is>
      </c>
      <c r="E52" s="20" t="n">
        <v>0.55</v>
      </c>
      <c r="F52" s="19" t="inlineStr">
        <is>
          <t>Servicios y UX deben sostener la autonomía.</t>
        </is>
      </c>
      <c r="G52" s="19" t="inlineStr">
        <is>
          <t>INFERIDO</t>
        </is>
      </c>
    </row>
    <row r="53">
      <c r="A53" s="19" t="inlineStr">
        <is>
          <t>SUB-13</t>
        </is>
      </c>
      <c r="B53" s="19" t="inlineStr">
        <is>
          <t>El vacío arquitectónico</t>
        </is>
      </c>
      <c r="C53" s="19" t="inlineStr">
        <is>
          <t>SUB-28</t>
        </is>
      </c>
      <c r="D53" s="19" t="inlineStr">
        <is>
          <t>Travesías y geopoética</t>
        </is>
      </c>
      <c r="E53" s="20" t="n">
        <v>0.55</v>
      </c>
      <c r="F53" s="19" t="inlineStr">
        <is>
          <t>Travesías son experiencia de habitar el vacío continental.</t>
        </is>
      </c>
      <c r="G53" s="19" t="inlineStr">
        <is>
          <t>INFERIDO</t>
        </is>
      </c>
    </row>
    <row r="54">
      <c r="A54" s="19" t="inlineStr">
        <is>
          <t>SUB-14</t>
        </is>
      </c>
      <c r="B54" s="19" t="inlineStr">
        <is>
          <t>Espacios de aprendizaje en contextos vulnerables</t>
        </is>
      </c>
      <c r="C54" s="19" t="inlineStr">
        <is>
          <t>SUB-19</t>
        </is>
      </c>
      <c r="D54" s="19" t="inlineStr">
        <is>
          <t>Medios de aprendizaje en arquitectura y diseño</t>
        </is>
      </c>
      <c r="E54" s="20" t="n">
        <v>0.55</v>
      </c>
      <c r="F54" s="19" t="inlineStr">
        <is>
          <t>Medios de aprendizaje se ajustan a contextos vulnerables.</t>
        </is>
      </c>
      <c r="G54" s="19" t="inlineStr">
        <is>
          <t>INFERIDO</t>
        </is>
      </c>
    </row>
    <row r="55">
      <c r="A55" s="19" t="inlineStr">
        <is>
          <t>SUB-18</t>
        </is>
      </c>
      <c r="B55" s="19" t="inlineStr">
        <is>
          <t>Industrias creativas e innovación social para el desarrollo local</t>
        </is>
      </c>
      <c r="C55" s="19" t="inlineStr">
        <is>
          <t>SUB-25</t>
        </is>
      </c>
      <c r="D55" s="19" t="inlineStr">
        <is>
          <t>Saberes técnicos análogos</t>
        </is>
      </c>
      <c r="E55" s="20" t="n">
        <v>0.55</v>
      </c>
      <c r="F55" s="19" t="inlineStr">
        <is>
          <t>Saberes técnicos análogos sostienen industrias creativas locales.</t>
        </is>
      </c>
      <c r="G55" s="19" t="inlineStr">
        <is>
          <t>INFERIDO</t>
        </is>
      </c>
    </row>
    <row r="56">
      <c r="A56" s="19" t="inlineStr">
        <is>
          <t>SUB-19</t>
        </is>
      </c>
      <c r="B56" s="19" t="inlineStr">
        <is>
          <t>Medios de aprendizaje en arquitectura y diseño</t>
        </is>
      </c>
      <c r="C56" s="19" t="inlineStr">
        <is>
          <t>SUB-23</t>
        </is>
      </c>
      <c r="D56" s="19" t="inlineStr">
        <is>
          <t>Programas educativos y espacios escolares</t>
        </is>
      </c>
      <c r="E56" s="20" t="n">
        <v>0.55</v>
      </c>
      <c r="F56" s="19" t="inlineStr">
        <is>
          <t>Medios de aprendizaje son herramientas operativas de los programas educativos.</t>
        </is>
      </c>
      <c r="G56" s="19" t="inlineStr">
        <is>
          <t>INFERIDO</t>
        </is>
      </c>
    </row>
    <row r="57">
      <c r="A57" s="19" t="inlineStr">
        <is>
          <t>SUB-20</t>
        </is>
      </c>
      <c r="B57" s="19" t="inlineStr">
        <is>
          <t>Métodos de diseño</t>
        </is>
      </c>
      <c r="C57" s="19" t="inlineStr">
        <is>
          <t>SUB-25</t>
        </is>
      </c>
      <c r="D57" s="19" t="inlineStr">
        <is>
          <t>Saberes técnicos análogos</t>
        </is>
      </c>
      <c r="E57" s="20" t="n">
        <v>0.55</v>
      </c>
      <c r="F57" s="19" t="inlineStr">
        <is>
          <t>Saberes técnicos análogos integran el repertorio de los métodos.</t>
        </is>
      </c>
      <c r="G57" s="19" t="inlineStr">
        <is>
          <t>INFERIDO</t>
        </is>
      </c>
    </row>
    <row r="58">
      <c r="A58" s="19" t="inlineStr">
        <is>
          <t>SUB-22</t>
        </is>
      </c>
      <c r="B58" s="19" t="inlineStr">
        <is>
          <t>Prácticas colectivas</t>
        </is>
      </c>
      <c r="C58" s="19" t="inlineStr">
        <is>
          <t>SUB-28</t>
        </is>
      </c>
      <c r="D58" s="19" t="inlineStr">
        <is>
          <t>Travesías y geopoética</t>
        </is>
      </c>
      <c r="E58" s="20" t="n">
        <v>0.55</v>
      </c>
      <c r="F58" s="19" t="inlineStr">
        <is>
          <t>Travesías son una práctica colectiva paradigmática.</t>
        </is>
      </c>
      <c r="G58" s="19" t="inlineStr">
        <is>
          <t>INFERIDO</t>
        </is>
      </c>
    </row>
    <row r="59">
      <c r="A59" s="19" t="inlineStr">
        <is>
          <t>SUB-29</t>
        </is>
      </c>
      <c r="B59" s="19" t="inlineStr">
        <is>
          <t>Urbanización, urbanismo y ecología política</t>
        </is>
      </c>
      <c r="C59" s="19" t="inlineStr">
        <is>
          <t>SUB-30</t>
        </is>
      </c>
      <c r="D59" s="19" t="inlineStr">
        <is>
          <t>Vulnerabilidad física de asentamientos costeros</t>
        </is>
      </c>
      <c r="E59" s="20" t="n">
        <v>0.55</v>
      </c>
      <c r="F59" s="19" t="inlineStr">
        <is>
          <t>Vulnerabilidad costera es leída desde la urbanización política.</t>
        </is>
      </c>
      <c r="G59" s="19" t="inlineStr">
        <is>
          <t>INFERIDO</t>
        </is>
      </c>
    </row>
    <row r="60">
      <c r="A60" s="19" t="inlineStr">
        <is>
          <t>SUB-02</t>
        </is>
      </c>
      <c r="B60" s="19" t="inlineStr">
        <is>
          <t>Accesibilidad e inclusión</t>
        </is>
      </c>
      <c r="C60" s="19" t="inlineStr">
        <is>
          <t>SUB-10</t>
        </is>
      </c>
      <c r="D60" s="19" t="inlineStr">
        <is>
          <t>Diseño de interacción, servicios y experiencia de usuario</t>
        </is>
      </c>
      <c r="E60" s="20" t="n">
        <v>0.5</v>
      </c>
      <c r="F60" s="19" t="inlineStr">
        <is>
          <t>Inclusión cruza la práctica de servicios y UX.</t>
        </is>
      </c>
      <c r="G60" s="19" t="inlineStr">
        <is>
          <t>INFERIDO</t>
        </is>
      </c>
    </row>
    <row r="61">
      <c r="A61" s="19" t="inlineStr">
        <is>
          <t>SUB-02</t>
        </is>
      </c>
      <c r="B61" s="19" t="inlineStr">
        <is>
          <t>Accesibilidad e inclusión</t>
        </is>
      </c>
      <c r="C61" s="19" t="inlineStr">
        <is>
          <t>SUB-14</t>
        </is>
      </c>
      <c r="D61" s="19" t="inlineStr">
        <is>
          <t>Espacios de aprendizaje en contextos vulnerables</t>
        </is>
      </c>
      <c r="E61" s="20" t="n">
        <v>0.5</v>
      </c>
      <c r="F61" s="19" t="inlineStr">
        <is>
          <t>Aprendizaje en contextos vulnerables es inclusión educativa.</t>
        </is>
      </c>
      <c r="G61" s="19" t="inlineStr">
        <is>
          <t>INFERIDO</t>
        </is>
      </c>
    </row>
    <row r="62">
      <c r="A62" s="19" t="inlineStr">
        <is>
          <t>SUB-02</t>
        </is>
      </c>
      <c r="B62" s="19" t="inlineStr">
        <is>
          <t>Accesibilidad e inclusión</t>
        </is>
      </c>
      <c r="C62" s="19" t="inlineStr">
        <is>
          <t>SUB-16</t>
        </is>
      </c>
      <c r="D62" s="19" t="inlineStr">
        <is>
          <t>Espacios educativos en contextos vulnerables</t>
        </is>
      </c>
      <c r="E62" s="20" t="n">
        <v>0.5</v>
      </c>
      <c r="F62" s="19" t="inlineStr">
        <is>
          <t>Espacios educativos vulnerables como inclusión espacial.</t>
        </is>
      </c>
      <c r="G62" s="19" t="inlineStr">
        <is>
          <t>INFERIDO</t>
        </is>
      </c>
    </row>
    <row r="63">
      <c r="A63" s="19" t="inlineStr">
        <is>
          <t>SUB-03</t>
        </is>
      </c>
      <c r="B63" s="19" t="inlineStr">
        <is>
          <t>Acervo histórico de Ciudad Abierta y de la Escuela de Arquitectura y Diseño</t>
        </is>
      </c>
      <c r="C63" s="19" t="inlineStr">
        <is>
          <t>SUB-25</t>
        </is>
      </c>
      <c r="D63" s="19" t="inlineStr">
        <is>
          <t>Saberes técnicos análogos</t>
        </is>
      </c>
      <c r="E63" s="20" t="n">
        <v>0.5</v>
      </c>
      <c r="F63" s="19" t="inlineStr">
        <is>
          <t>Saberes técnicos análogos están heredados desde el acervo institucional.</t>
        </is>
      </c>
      <c r="G63" s="19" t="inlineStr">
        <is>
          <t>INFERIDO</t>
        </is>
      </c>
    </row>
    <row r="64">
      <c r="A64" s="19" t="inlineStr">
        <is>
          <t>SUB-05</t>
        </is>
      </c>
      <c r="B64" s="19" t="inlineStr">
        <is>
          <t>Adaptación formal ante desastres</t>
        </is>
      </c>
      <c r="C64" s="19" t="inlineStr">
        <is>
          <t>SUB-08</t>
        </is>
      </c>
      <c r="D64" s="19" t="inlineStr">
        <is>
          <t>Diseño arquitectónico</t>
        </is>
      </c>
      <c r="E64" s="20" t="n">
        <v>0.5</v>
      </c>
      <c r="F64" s="19" t="inlineStr">
        <is>
          <t>Adaptación formal ante desastres es una respuesta del diseño arquitectónico.</t>
        </is>
      </c>
      <c r="G64" s="19" t="inlineStr">
        <is>
          <t>INFERIDO</t>
        </is>
      </c>
    </row>
    <row r="65">
      <c r="A65" s="19" t="inlineStr">
        <is>
          <t>SUB-05</t>
        </is>
      </c>
      <c r="B65" s="19" t="inlineStr">
        <is>
          <t>Adaptación formal ante desastres</t>
        </is>
      </c>
      <c r="C65" s="19" t="inlineStr">
        <is>
          <t>SUB-29</t>
        </is>
      </c>
      <c r="D65" s="19" t="inlineStr">
        <is>
          <t>Urbanización, urbanismo y ecología política</t>
        </is>
      </c>
      <c r="E65" s="20" t="n">
        <v>0.5</v>
      </c>
      <c r="F65" s="19" t="inlineStr">
        <is>
          <t>Desastres están entrelazados con condiciones políticas y ecológicas.</t>
        </is>
      </c>
      <c r="G65" s="19" t="inlineStr">
        <is>
          <t>INFERIDO</t>
        </is>
      </c>
    </row>
    <row r="66">
      <c r="A66" s="19" t="inlineStr">
        <is>
          <t>SUB-06</t>
        </is>
      </c>
      <c r="B66" s="19" t="inlineStr">
        <is>
          <t>Arquitectura como medio didáctico</t>
        </is>
      </c>
      <c r="C66" s="19" t="inlineStr">
        <is>
          <t>SUB-14</t>
        </is>
      </c>
      <c r="D66" s="19" t="inlineStr">
        <is>
          <t>Espacios de aprendizaje en contextos vulnerables</t>
        </is>
      </c>
      <c r="E66" s="20" t="n">
        <v>0.5</v>
      </c>
      <c r="F66" s="19" t="inlineStr">
        <is>
          <t>El medio didáctico tiene aplicación en aprendizajes vulnerables.</t>
        </is>
      </c>
      <c r="G66" s="19" t="inlineStr">
        <is>
          <t>INFERIDO</t>
        </is>
      </c>
    </row>
    <row r="67">
      <c r="A67" s="19" t="inlineStr">
        <is>
          <t>SUB-08</t>
        </is>
      </c>
      <c r="B67" s="19" t="inlineStr">
        <is>
          <t>Diseño arquitectónico</t>
        </is>
      </c>
      <c r="C67" s="19" t="inlineStr">
        <is>
          <t>SUB-28</t>
        </is>
      </c>
      <c r="D67" s="19" t="inlineStr">
        <is>
          <t>Travesías y geopoética</t>
        </is>
      </c>
      <c r="E67" s="20" t="n">
        <v>0.5</v>
      </c>
      <c r="F67" s="19" t="inlineStr">
        <is>
          <t>Travesías han sido escenario de proyectos arquitectónicos.</t>
        </is>
      </c>
      <c r="G67" s="19" t="inlineStr">
        <is>
          <t>INFERIDO</t>
        </is>
      </c>
    </row>
    <row r="68">
      <c r="A68" s="19" t="inlineStr">
        <is>
          <t>SUB-10</t>
        </is>
      </c>
      <c r="B68" s="19" t="inlineStr">
        <is>
          <t>Diseño de interacción, servicios y experiencia de usuario</t>
        </is>
      </c>
      <c r="C68" s="19" t="inlineStr">
        <is>
          <t>SUB-20</t>
        </is>
      </c>
      <c r="D68" s="19" t="inlineStr">
        <is>
          <t>Métodos de diseño</t>
        </is>
      </c>
      <c r="E68" s="20" t="n">
        <v>0.5</v>
      </c>
      <c r="F68" s="19" t="inlineStr">
        <is>
          <t>Métodos de diseño se aplican intensivamente al diseño de interacción.</t>
        </is>
      </c>
      <c r="G68" s="19" t="inlineStr">
        <is>
          <t>INFERIDO</t>
        </is>
      </c>
    </row>
    <row r="69">
      <c r="A69" s="19" t="inlineStr">
        <is>
          <t>SUB-12</t>
        </is>
      </c>
      <c r="B69" s="19" t="inlineStr">
        <is>
          <t>El sentido de la hospitalidad</t>
        </is>
      </c>
      <c r="C69" s="19" t="inlineStr">
        <is>
          <t>SUB-13</t>
        </is>
      </c>
      <c r="D69" s="19" t="inlineStr">
        <is>
          <t>El vacío arquitectónico</t>
        </is>
      </c>
      <c r="E69" s="20" t="n">
        <v>0.5</v>
      </c>
      <c r="F69" s="19" t="inlineStr">
        <is>
          <t>Hospitalidad y vacío comparten registro fenomenológico de la EAD.</t>
        </is>
      </c>
      <c r="G69" s="19" t="inlineStr">
        <is>
          <t>INFERIDO</t>
        </is>
      </c>
    </row>
    <row r="70">
      <c r="A70" s="19" t="inlineStr">
        <is>
          <t>SUB-17</t>
        </is>
      </c>
      <c r="B70" s="19" t="inlineStr">
        <is>
          <t>Formación en pensamiento y acción creativa</t>
        </is>
      </c>
      <c r="C70" s="19" t="inlineStr">
        <is>
          <t>SUB-19</t>
        </is>
      </c>
      <c r="D70" s="19" t="inlineStr">
        <is>
          <t>Medios de aprendizaje en arquitectura y diseño</t>
        </is>
      </c>
      <c r="E70" s="20" t="n">
        <v>0.5</v>
      </c>
      <c r="F70" s="19" t="inlineStr">
        <is>
          <t>Pensamiento creativo se transfiere por medios de aprendizaje específicos.</t>
        </is>
      </c>
      <c r="G70" s="19" t="inlineStr">
        <is>
          <t>INFERIDO</t>
        </is>
      </c>
    </row>
    <row r="71">
      <c r="A71" s="19" t="inlineStr">
        <is>
          <t>SUB-17</t>
        </is>
      </c>
      <c r="B71" s="19" t="inlineStr">
        <is>
          <t>Formación en pensamiento y acción creativa</t>
        </is>
      </c>
      <c r="C71" s="19" t="inlineStr">
        <is>
          <t>SUB-25</t>
        </is>
      </c>
      <c r="D71" s="19" t="inlineStr">
        <is>
          <t>Saberes técnicos análogos</t>
        </is>
      </c>
      <c r="E71" s="20" t="n">
        <v>0.5</v>
      </c>
      <c r="F71" s="19" t="inlineStr">
        <is>
          <t>Saberes técnicos análogos sostienen la formación creativa.</t>
        </is>
      </c>
      <c r="G71" s="19" t="inlineStr">
        <is>
          <t>INFERIDO</t>
        </is>
      </c>
    </row>
    <row r="72">
      <c r="A72" s="19" t="inlineStr">
        <is>
          <t>SUB-18</t>
        </is>
      </c>
      <c r="B72" s="19" t="inlineStr">
        <is>
          <t>Industrias creativas e innovación social para el desarrollo local</t>
        </is>
      </c>
      <c r="C72" s="19" t="inlineStr">
        <is>
          <t>SUB-22</t>
        </is>
      </c>
      <c r="D72" s="19" t="inlineStr">
        <is>
          <t>Prácticas colectivas</t>
        </is>
      </c>
      <c r="E72" s="20" t="n">
        <v>0.5</v>
      </c>
      <c r="F72" s="19" t="inlineStr">
        <is>
          <t>Innovación social se entrelaza con prácticas colectivas.</t>
        </is>
      </c>
      <c r="G72" s="19" t="inlineStr">
        <is>
          <t>INFERIDO</t>
        </is>
      </c>
    </row>
    <row r="73">
      <c r="A73" s="19" t="inlineStr">
        <is>
          <t>SUB-26</t>
        </is>
      </c>
      <c r="B73" s="19" t="inlineStr">
        <is>
          <t>Teoría e historia de la arquitectura</t>
        </is>
      </c>
      <c r="C73" s="19" t="inlineStr">
        <is>
          <t>SUB-28</t>
        </is>
      </c>
      <c r="D73" s="19" t="inlineStr">
        <is>
          <t>Travesías y geopoética</t>
        </is>
      </c>
      <c r="E73" s="20" t="n">
        <v>0.5</v>
      </c>
      <c r="F73" s="19" t="inlineStr">
        <is>
          <t>Travesías como objeto de teoría e historia de la arquitectura.</t>
        </is>
      </c>
      <c r="G73" s="19" t="inlineStr">
        <is>
          <t>INFERIDO</t>
        </is>
      </c>
    </row>
    <row r="74">
      <c r="A74" s="19" t="inlineStr">
        <is>
          <t>SUB-02</t>
        </is>
      </c>
      <c r="B74" s="19" t="inlineStr">
        <is>
          <t>Accesibilidad e inclusión</t>
        </is>
      </c>
      <c r="C74" s="19" t="inlineStr">
        <is>
          <t>SUB-21</t>
        </is>
      </c>
      <c r="D74" s="19" t="inlineStr">
        <is>
          <t>Perspectivas decoloniales</t>
        </is>
      </c>
      <c r="E74" s="20" t="n">
        <v>0.45</v>
      </c>
      <c r="F74" s="19" t="inlineStr">
        <is>
          <t>Decolonialidad amplía la inclusión a la diferencia cultural.</t>
        </is>
      </c>
      <c r="G74" s="19" t="inlineStr">
        <is>
          <t>INFERIDO</t>
        </is>
      </c>
    </row>
    <row r="75">
      <c r="A75" s="19" t="inlineStr">
        <is>
          <t>SUB-03</t>
        </is>
      </c>
      <c r="B75" s="19" t="inlineStr">
        <is>
          <t>Acervo histórico de Ciudad Abierta y de la Escuela de Arquitectura y Diseño</t>
        </is>
      </c>
      <c r="C75" s="19" t="inlineStr">
        <is>
          <t>SUB-08</t>
        </is>
      </c>
      <c r="D75" s="19" t="inlineStr">
        <is>
          <t>Diseño arquitectónico</t>
        </is>
      </c>
      <c r="E75" s="20" t="n">
        <v>0.45</v>
      </c>
      <c r="F75" s="19" t="inlineStr">
        <is>
          <t>Acervo histórico ilumina la comprensión del diseño arquitectónico.</t>
        </is>
      </c>
      <c r="G75" s="19" t="inlineStr">
        <is>
          <t>INFERIDO</t>
        </is>
      </c>
    </row>
    <row r="76">
      <c r="A76" s="19" t="inlineStr">
        <is>
          <t>SUB-06</t>
        </is>
      </c>
      <c r="B76" s="19" t="inlineStr">
        <is>
          <t>Arquitectura como medio didáctico</t>
        </is>
      </c>
      <c r="C76" s="19" t="inlineStr">
        <is>
          <t>SUB-17</t>
        </is>
      </c>
      <c r="D76" s="19" t="inlineStr">
        <is>
          <t>Formación en pensamiento y acción creativa</t>
        </is>
      </c>
      <c r="E76" s="20" t="n">
        <v>0.45</v>
      </c>
      <c r="F76" s="19" t="inlineStr">
        <is>
          <t>Pensamiento creativo se forma con la obra como medio didáctico.</t>
        </is>
      </c>
      <c r="G76" s="19" t="inlineStr">
        <is>
          <t>INFERIDO</t>
        </is>
      </c>
    </row>
    <row r="77">
      <c r="A77" s="19" t="inlineStr">
        <is>
          <t>SUB-06</t>
        </is>
      </c>
      <c r="B77" s="19" t="inlineStr">
        <is>
          <t>Arquitectura como medio didáctico</t>
        </is>
      </c>
      <c r="C77" s="19" t="inlineStr">
        <is>
          <t>SUB-26</t>
        </is>
      </c>
      <c r="D77" s="19" t="inlineStr">
        <is>
          <t>Teoría e historia de la arquitectura</t>
        </is>
      </c>
      <c r="E77" s="20" t="n">
        <v>0.45</v>
      </c>
      <c r="F77" s="19" t="inlineStr">
        <is>
          <t>Teoría arquitectónica fundamenta la lectura didáctica de la obra.</t>
        </is>
      </c>
      <c r="G77" s="19" t="inlineStr">
        <is>
          <t>INFERIDO</t>
        </is>
      </c>
    </row>
    <row r="78">
      <c r="A78" s="19" t="inlineStr">
        <is>
          <t>SUB-11</t>
        </is>
      </c>
      <c r="B78" s="19" t="inlineStr">
        <is>
          <t>Diseño y vida independiente</t>
        </is>
      </c>
      <c r="C78" s="19" t="inlineStr">
        <is>
          <t>SUB-12</t>
        </is>
      </c>
      <c r="D78" s="19" t="inlineStr">
        <is>
          <t>El sentido de la hospitalidad</t>
        </is>
      </c>
      <c r="E78" s="20" t="n">
        <v>0.45</v>
      </c>
      <c r="F78" s="19" t="inlineStr">
        <is>
          <t>Hospitalidad como condición de la vida con otros.</t>
        </is>
      </c>
      <c r="G78" s="19" t="inlineStr">
        <is>
          <t>INFERIDO</t>
        </is>
      </c>
    </row>
    <row r="79">
      <c r="A79" s="19" t="inlineStr">
        <is>
          <t>SUB-12</t>
        </is>
      </c>
      <c r="B79" s="19" t="inlineStr">
        <is>
          <t>El sentido de la hospitalidad</t>
        </is>
      </c>
      <c r="C79" s="19" t="inlineStr">
        <is>
          <t>SUB-22</t>
        </is>
      </c>
      <c r="D79" s="19" t="inlineStr">
        <is>
          <t>Prácticas colectivas</t>
        </is>
      </c>
      <c r="E79" s="20" t="n">
        <v>0.45</v>
      </c>
      <c r="F79" s="19" t="inlineStr">
        <is>
          <t>Hospitalidad es condición de las prácticas colectivas.</t>
        </is>
      </c>
      <c r="G79" s="19" t="inlineStr">
        <is>
          <t>INFERIDO</t>
        </is>
      </c>
    </row>
    <row r="80">
      <c r="A80" s="19" t="inlineStr">
        <is>
          <t>SUB-17</t>
        </is>
      </c>
      <c r="B80" s="19" t="inlineStr">
        <is>
          <t>Formación en pensamiento y acción creativa</t>
        </is>
      </c>
      <c r="C80" s="19" t="inlineStr">
        <is>
          <t>SUB-27</t>
        </is>
      </c>
      <c r="D80" s="19" t="inlineStr">
        <is>
          <t>Transferencia de medios tecnológicos con aplicación al emprendimiento local</t>
        </is>
      </c>
      <c r="E80" s="20" t="n">
        <v>0.45</v>
      </c>
      <c r="F80" s="19" t="inlineStr">
        <is>
          <t>Transferencia tecnológica encuentra cauce en formación creativa.</t>
        </is>
      </c>
      <c r="G80" s="19" t="inlineStr">
        <is>
          <t>INFERIDO</t>
        </is>
      </c>
    </row>
    <row r="81">
      <c r="A81" s="19" t="inlineStr">
        <is>
          <t>SUB-18</t>
        </is>
      </c>
      <c r="B81" s="19" t="inlineStr">
        <is>
          <t>Industrias creativas e innovación social para el desarrollo local</t>
        </is>
      </c>
      <c r="C81" s="19" t="inlineStr">
        <is>
          <t>SUB-20</t>
        </is>
      </c>
      <c r="D81" s="19" t="inlineStr">
        <is>
          <t>Métodos de diseño</t>
        </is>
      </c>
      <c r="E81" s="20" t="n">
        <v>0.45</v>
      </c>
      <c r="F81" s="19" t="inlineStr">
        <is>
          <t>Métodos de diseño habilitan la innovación social.</t>
        </is>
      </c>
      <c r="G81" s="19" t="inlineStr">
        <is>
          <t>INFERIDO</t>
        </is>
      </c>
    </row>
    <row r="82">
      <c r="A82" s="19" t="inlineStr">
        <is>
          <t>SUB-01</t>
        </is>
      </c>
      <c r="B82" s="19" t="inlineStr">
        <is>
          <t>Accesibilidad cognitiva y codiseño</t>
        </is>
      </c>
      <c r="C82" s="19" t="inlineStr">
        <is>
          <t>SUB-09</t>
        </is>
      </c>
      <c r="D82" s="19" t="inlineStr">
        <is>
          <t>Diseño de espacios educativos</t>
        </is>
      </c>
      <c r="E82" s="20" t="n">
        <v>0.4</v>
      </c>
      <c r="F82" s="19" t="inlineStr">
        <is>
          <t>Bridge: accesibilidad cognitiva tiene aplicación clara en espacios educativos.</t>
        </is>
      </c>
      <c r="G82" s="19" t="inlineStr">
        <is>
          <t>INFERIDO</t>
        </is>
      </c>
    </row>
    <row r="83">
      <c r="A83" s="19" t="inlineStr">
        <is>
          <t>SUB-03</t>
        </is>
      </c>
      <c r="B83" s="19" t="inlineStr">
        <is>
          <t>Acervo histórico de Ciudad Abierta y de la Escuela de Arquitectura y Diseño</t>
        </is>
      </c>
      <c r="C83" s="19" t="inlineStr">
        <is>
          <t>SUB-19</t>
        </is>
      </c>
      <c r="D83" s="19" t="inlineStr">
        <is>
          <t>Medios de aprendizaje en arquitectura y diseño</t>
        </is>
      </c>
      <c r="E83" s="20" t="n">
        <v>0.4</v>
      </c>
      <c r="F83" s="19" t="inlineStr">
        <is>
          <t>Medios de aprendizaje pueden anclarse en el acervo de la Escuela.</t>
        </is>
      </c>
      <c r="G83" s="19" t="inlineStr">
        <is>
          <t>INFERIDO</t>
        </is>
      </c>
    </row>
    <row r="84">
      <c r="A84" s="19" t="inlineStr">
        <is>
          <t>SUB-03</t>
        </is>
      </c>
      <c r="B84" s="19" t="inlineStr">
        <is>
          <t>Acervo histórico de Ciudad Abierta y de la Escuela de Arquitectura y Diseño</t>
        </is>
      </c>
      <c r="C84" s="19" t="inlineStr">
        <is>
          <t>SUB-21</t>
        </is>
      </c>
      <c r="D84" s="19" t="inlineStr">
        <is>
          <t>Perspectivas decoloniales</t>
        </is>
      </c>
      <c r="E84" s="20" t="n">
        <v>0.4</v>
      </c>
      <c r="F84" s="19" t="inlineStr">
        <is>
          <t>Decolonialidad entra en diálogo con la lectura americana del acervo.</t>
        </is>
      </c>
      <c r="G84" s="19" t="inlineStr">
        <is>
          <t>INFERIDO</t>
        </is>
      </c>
    </row>
    <row r="85">
      <c r="A85" s="19" t="inlineStr">
        <is>
          <t>SUB-08</t>
        </is>
      </c>
      <c r="B85" s="19" t="inlineStr">
        <is>
          <t>Diseño arquitectónico</t>
        </is>
      </c>
      <c r="C85" s="19" t="inlineStr">
        <is>
          <t>SUB-30</t>
        </is>
      </c>
      <c r="D85" s="19" t="inlineStr">
        <is>
          <t>Vulnerabilidad física de asentamientos costeros</t>
        </is>
      </c>
      <c r="E85" s="20" t="n">
        <v>0.4</v>
      </c>
      <c r="F85" s="19" t="inlineStr">
        <is>
          <t>Diseño arquitectónico se confronta con vulnerabilidad costera en proyectos.</t>
        </is>
      </c>
      <c r="G85" s="19" t="inlineStr">
        <is>
          <t>INFERIDO</t>
        </is>
      </c>
    </row>
    <row r="86">
      <c r="A86" s="19" t="inlineStr">
        <is>
          <t>SUB-11</t>
        </is>
      </c>
      <c r="B86" s="19" t="inlineStr">
        <is>
          <t>Diseño y vida independiente</t>
        </is>
      </c>
      <c r="C86" s="19" t="inlineStr">
        <is>
          <t>SUB-18</t>
        </is>
      </c>
      <c r="D86" s="19" t="inlineStr">
        <is>
          <t>Industrias creativas e innovación social para el desarrollo local</t>
        </is>
      </c>
      <c r="E86" s="20" t="n">
        <v>0.4</v>
      </c>
      <c r="F86" s="19" t="inlineStr">
        <is>
          <t>Innovación social puede orientarse a sistemas para la vida independiente.</t>
        </is>
      </c>
      <c r="G86" s="19" t="inlineStr">
        <is>
          <t>INFERIDO</t>
        </is>
      </c>
    </row>
    <row r="87">
      <c r="A87" s="19" t="inlineStr">
        <is>
          <t>SUB-17</t>
        </is>
      </c>
      <c r="B87" s="19" t="inlineStr">
        <is>
          <t>Formación en pensamiento y acción creativa</t>
        </is>
      </c>
      <c r="C87" s="19" t="inlineStr">
        <is>
          <t>SUB-18</t>
        </is>
      </c>
      <c r="D87" s="19" t="inlineStr">
        <is>
          <t>Industrias creativas e innovación social para el desarrollo local</t>
        </is>
      </c>
      <c r="E87" s="20" t="n">
        <v>0.4</v>
      </c>
      <c r="F87" s="19" t="inlineStr">
        <is>
          <t>Pensamiento y acción creativa puede orientar la innovación social.</t>
        </is>
      </c>
      <c r="G87" s="19" t="inlineStr">
        <is>
          <t>INFERIDO</t>
        </is>
      </c>
    </row>
    <row r="88">
      <c r="A88" s="19" t="inlineStr">
        <is>
          <t>SUB-18</t>
        </is>
      </c>
      <c r="B88" s="19" t="inlineStr">
        <is>
          <t>Industrias creativas e innovación social para el desarrollo local</t>
        </is>
      </c>
      <c r="C88" s="19" t="inlineStr">
        <is>
          <t>SUB-29</t>
        </is>
      </c>
      <c r="D88" s="19" t="inlineStr">
        <is>
          <t>Urbanización, urbanismo y ecología política</t>
        </is>
      </c>
      <c r="E88" s="20" t="n">
        <v>0.4</v>
      </c>
      <c r="F88" s="19" t="inlineStr">
        <is>
          <t>Innovación local entra en diálogo con la urbanización política.</t>
        </is>
      </c>
      <c r="G88" s="19" t="inlineStr">
        <is>
          <t>INFERIDO</t>
        </is>
      </c>
    </row>
    <row r="89">
      <c r="A89" s="19" t="inlineStr">
        <is>
          <t>SUB-20</t>
        </is>
      </c>
      <c r="B89" s="19" t="inlineStr">
        <is>
          <t>Métodos de diseño</t>
        </is>
      </c>
      <c r="C89" s="19" t="inlineStr">
        <is>
          <t>SUB-27</t>
        </is>
      </c>
      <c r="D89" s="19" t="inlineStr">
        <is>
          <t>Transferencia de medios tecnológicos con aplicación al emprendimiento local</t>
        </is>
      </c>
      <c r="E89" s="20" t="n">
        <v>0.4</v>
      </c>
      <c r="F89" s="19" t="inlineStr">
        <is>
          <t>Transferencia tecnológica usa métodos de diseño formalizados.</t>
        </is>
      </c>
      <c r="G89" s="19" t="inlineStr">
        <is>
          <t>INFERIDO</t>
        </is>
      </c>
    </row>
    <row r="90">
      <c r="A90" s="19" t="inlineStr">
        <is>
          <t>SUB-24</t>
        </is>
      </c>
      <c r="B90" s="19" t="inlineStr">
        <is>
          <t>Proyecto de arquitectura escolar</t>
        </is>
      </c>
      <c r="C90" s="19" t="inlineStr">
        <is>
          <t>SUB-26</t>
        </is>
      </c>
      <c r="D90" s="19" t="inlineStr">
        <is>
          <t>Teoría e historia de la arquitectura</t>
        </is>
      </c>
      <c r="E90" s="20" t="n">
        <v>0.4</v>
      </c>
      <c r="F90" s="19" t="inlineStr">
        <is>
          <t>El proyecto escolar tiene una historia y teoría disciplinar.</t>
        </is>
      </c>
      <c r="G90" s="19" t="inlineStr">
        <is>
          <t>INFERIDO</t>
        </is>
      </c>
    </row>
  </sheetData>
  <autoFilter ref="A4:G90"/>
  <mergeCells count="2">
    <mergeCell ref="A2:G2"/>
    <mergeCell ref="A1:G1"/>
  </mergeCells>
  <dataValidations count="1">
    <dataValidation sqref="G5:G90" showDropDown="0" showInputMessage="0" showErrorMessage="0" allowBlank="0" type="list">
      <formula1>"INFERIDO,CONFIRMADO,AJUSTADO,DESCARTADO"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2026-04-29T20:29:43Z</dcterms:created>
  <dcterms:modified xmlns:dcterms="http://purl.org/dc/terms/" xmlns:xsi="http://www.w3.org/2001/XMLSchema-instance" xsi:type="dcterms:W3CDTF">2026-04-29T20:29:43Z</dcterms:modified>
</cp:coreProperties>
</file>